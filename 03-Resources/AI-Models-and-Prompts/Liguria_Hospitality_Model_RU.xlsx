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Сценарии" sheetId="3" state="visible" r:id="rId3"/>
    <sheet xmlns:r="http://schemas.openxmlformats.org/officeDocument/2006/relationships" name="Модель" sheetId="4" state="visible" r:id="rId4"/>
    <sheet xmlns:r="http://schemas.openxmlformats.org/officeDocument/2006/relationships" name="PnL" sheetId="5" state="visible" r:id="rId5"/>
    <sheet xmlns:r="http://schemas.openxmlformats.org/officeDocument/2006/relationships" name="Cashflow" sheetId="6" state="visible" r:id="rId6"/>
    <sheet xmlns:r="http://schemas.openxmlformats.org/officeDocument/2006/relationships" name="Экон_категорий" sheetId="7" state="visible" r:id="rId7"/>
    <sheet xmlns:r="http://schemas.openxmlformats.org/officeDocument/2006/relationships" name="Лицензии" sheetId="8" state="visible" r:id="rId8"/>
    <sheet xmlns:r="http://schemas.openxmlformats.org/officeDocument/2006/relationships" name="Риски" sheetId="9" state="visible" r:id="rId9"/>
    <sheet xmlns:r="http://schemas.openxmlformats.org/officeDocument/2006/relationships" name="Долговечность" sheetId="10" state="visible" r:id="rId10"/>
    <sheet xmlns:r="http://schemas.openxmlformats.org/officeDocument/2006/relationships" name="Примечания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(#,##0);-"/>
    <numFmt numFmtId="166" formatCode="#,##0.0"/>
    <numFmt numFmtId="167" formatCode="0.0"/>
    <numFmt numFmtId="168" formatCode="0.0&quot;x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name val="Calibri"/>
      <b val="1"/>
    </font>
    <font>
      <name val="Calibri"/>
      <color rgb="000000FF"/>
    </font>
    <font>
      <name val="Calibri"/>
      <b val="1"/>
      <color rgb="00FFFFFF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1" fontId="4" fillId="2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60" customWidth="1" min="2" max="2"/>
    <col width="20" customWidth="1" min="3" max="3"/>
  </cols>
  <sheetData>
    <row r="2">
      <c r="B2" s="1" t="inlineStr">
        <is>
          <t>Модель запуска в Лигурии: hardware + agent-сервисы для отелей (EUR, без НДС)</t>
        </is>
      </c>
    </row>
    <row r="3">
      <c r="B3" s="2" t="inlineStr">
        <is>
          <t>ВСЕ финансовые входные данные на листе «Допущения» — плановые заглушки (синие), НЕ котировки поставщиков и НЕ проверенные рыночные данные. Заменить реальными предложениями до любого инвестиционного решения.</t>
        </is>
      </c>
    </row>
    <row r="5">
      <c r="B5" s="3" t="inlineStr">
        <is>
          <t>Показатель</t>
        </is>
      </c>
      <c r="C5" s="3" t="inlineStr">
        <is>
          <t>Значение</t>
        </is>
      </c>
    </row>
    <row r="6">
      <c r="B6" t="inlineStr">
        <is>
          <t>Активный сценарий</t>
        </is>
      </c>
      <c r="C6" s="4">
        <f>CHOOSE('Допущения'!C5,"Lean","Base","Regional")</f>
        <v/>
      </c>
    </row>
    <row r="7">
      <c r="B7" t="inlineStr">
        <is>
          <t>Выручка, год 1</t>
        </is>
      </c>
      <c r="C7" s="5">
        <f>'PnL'!AB8</f>
        <v/>
      </c>
    </row>
    <row r="8">
      <c r="B8" t="inlineStr">
        <is>
          <t>Выручка, год 2</t>
        </is>
      </c>
      <c r="C8" s="5">
        <f>'PnL'!AC8</f>
        <v/>
      </c>
    </row>
    <row r="9">
      <c r="B9" t="inlineStr">
        <is>
          <t>EBITDA, год 1</t>
        </is>
      </c>
      <c r="C9" s="5">
        <f>'PnL'!AB15</f>
        <v/>
      </c>
    </row>
    <row r="10">
      <c r="B10" t="inlineStr">
        <is>
          <t>EBITDA, год 2</t>
        </is>
      </c>
      <c r="C10" s="5">
        <f>'PnL'!AC15</f>
        <v/>
      </c>
    </row>
    <row r="11">
      <c r="B11" t="inlineStr">
        <is>
          <t>Чистый результат за 24 мес.</t>
        </is>
      </c>
      <c r="C11" s="5">
        <f>'PnL'!AD17</f>
        <v/>
      </c>
    </row>
    <row r="12">
      <c r="B12" t="inlineStr">
        <is>
          <t>Первый месяц с EBITDA &gt; 0</t>
        </is>
      </c>
      <c r="C12" s="6">
        <f>IF(MIN('PnL'!D19:AA19)=99,"н/д",MIN('PnL'!D19:AA19))</f>
        <v/>
      </c>
    </row>
    <row r="13">
      <c r="B13" t="inlineStr">
        <is>
          <t>Пиковая потребность в финансировании</t>
        </is>
      </c>
      <c r="C13" s="5">
        <f>MAX(0,-MIN('Cashflow'!D14:AA14))</f>
        <v/>
      </c>
    </row>
    <row r="14">
      <c r="B14" t="inlineStr">
        <is>
          <t>Минимальный остаток денег</t>
        </is>
      </c>
      <c r="C14" s="5">
        <f>MIN('Cashflow'!D13:AA13)</f>
        <v/>
      </c>
    </row>
    <row r="15">
      <c r="B15" t="inlineStr">
        <is>
          <t>Активные объекты, месяц 12</t>
        </is>
      </c>
      <c r="C15" s="6">
        <f>'Модель'!O5</f>
        <v/>
      </c>
    </row>
    <row r="16">
      <c r="B16" t="inlineStr">
        <is>
          <t>Активные объекты, месяц 24</t>
        </is>
      </c>
      <c r="C16" s="6">
        <f>'Модель'!AA5</f>
        <v/>
      </c>
    </row>
    <row r="17">
      <c r="B17" t="inlineStr">
        <is>
          <t>Run-rate recurring+txn x12, месяц 24</t>
        </is>
      </c>
      <c r="C17" s="5">
        <f>('PnL'!AA6+'PnL'!AA7)*12</f>
        <v/>
      </c>
    </row>
    <row r="18">
      <c r="B18" t="inlineStr">
        <is>
          <t>Валовая маржа, год 2</t>
        </is>
      </c>
      <c r="C18" s="7">
        <f>'PnL'!AC12</f>
        <v/>
      </c>
    </row>
    <row r="21">
      <c r="B21" s="8" t="inlineStr">
        <is>
          <t>Index</t>
        </is>
      </c>
    </row>
    <row r="22">
      <c r="B22" t="inlineStr">
        <is>
          <t>Допущения</t>
        </is>
      </c>
    </row>
    <row r="23">
      <c r="B23" t="inlineStr">
        <is>
          <t>Сценарии</t>
        </is>
      </c>
    </row>
    <row r="24">
      <c r="B24" t="inlineStr">
        <is>
          <t>Модель</t>
        </is>
      </c>
    </row>
    <row r="25">
      <c r="B25" t="inlineStr">
        <is>
          <t>PnL</t>
        </is>
      </c>
    </row>
    <row r="26">
      <c r="B26" t="inlineStr">
        <is>
          <t>Cashflow</t>
        </is>
      </c>
    </row>
    <row r="27">
      <c r="B27" t="inlineStr">
        <is>
          <t>Экон_категорий</t>
        </is>
      </c>
    </row>
    <row r="28">
      <c r="B28" t="inlineStr">
        <is>
          <t>Лицензии</t>
        </is>
      </c>
    </row>
    <row r="29">
      <c r="B29" t="inlineStr">
        <is>
          <t>Риски</t>
        </is>
      </c>
    </row>
    <row r="30">
      <c r="B30" t="inlineStr">
        <is>
          <t>Долговечность</t>
        </is>
      </c>
    </row>
    <row r="31">
      <c r="B31" t="inlineStr">
        <is>
          <t>Примечания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50"/>
  <sheetViews>
    <sheetView workbookViewId="0">
      <selection activeCell="A1" sqref="A1"/>
    </sheetView>
  </sheetViews>
  <sheetFormatPr baseColWidth="8" defaultRowHeight="15"/>
  <cols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Модель запуска в Лигурии: hardware + agent-сервисы для отелей (EUR, без НДС)</t>
        </is>
      </c>
    </row>
    <row r="3">
      <c r="B3" s="2" t="inlineStr">
        <is>
          <t>ВСЕ финансовые входные данные на листе «Допущения» — плановые заглушки (синие), НЕ котировки поставщиков и НЕ проверенные рыночные данные. Заменить реальными предложениями до любого инвестиционного решения.</t>
        </is>
      </c>
    </row>
    <row r="4">
      <c r="B4" s="8" t="inlineStr">
        <is>
          <t>Общие параметры</t>
        </is>
      </c>
    </row>
    <row r="5">
      <c r="B5" t="inlineStr">
        <is>
          <t>Сценарий (1=Lean, 2=Base, 3=Regional)</t>
        </is>
      </c>
      <c r="C5" s="9" t="n">
        <v>2</v>
      </c>
    </row>
    <row r="6">
      <c r="B6" t="inlineStr">
        <is>
          <t>Месячный churn объектов</t>
        </is>
      </c>
      <c r="C6" s="10" t="n">
        <v>0.008</v>
      </c>
    </row>
    <row r="7">
      <c r="B7" t="inlineStr">
        <is>
          <t>Стартовый капитал, EUR</t>
        </is>
      </c>
      <c r="C7" s="11" t="n">
        <v>60000</v>
      </c>
    </row>
    <row r="8">
      <c r="B8" t="inlineStr">
        <is>
          <t>Налог на положительный месячный результат (упрощённо IRES+IRAP)</t>
        </is>
      </c>
      <c r="C8" s="10" t="n">
        <v>0.279</v>
      </c>
    </row>
    <row r="9">
      <c r="B9" t="inlineStr">
        <is>
          <t>Доля выручки, собираемая в том же месяце</t>
        </is>
      </c>
      <c r="C9" s="10" t="n">
        <v>0.5</v>
      </c>
    </row>
    <row r="14" ht="45" customHeight="1">
      <c r="B14" s="3" t="inlineStr">
        <is>
          <t>Категория</t>
        </is>
      </c>
      <c r="C14" s="3" t="inlineStr">
        <is>
          <t>Landed-стоимость HW / ед.</t>
        </is>
      </c>
      <c r="D14" s="3" t="inlineStr">
        <is>
          <t>Установка / настройка / ед.</t>
        </is>
      </c>
      <c r="E14" s="3" t="inlineStr">
        <is>
          <t>Разовая цена / ед.</t>
        </is>
      </c>
      <c r="F14" s="3" t="inlineStr">
        <is>
          <t>Ежемесячно (SaaS/lease) / ед.</t>
        </is>
      </c>
      <c r="G14" s="3" t="inlineStr">
        <is>
          <t>Маржа транзакций / мес / ед.</t>
        </is>
      </c>
      <c r="H14" s="3" t="inlineStr">
        <is>
          <t>Перем. затраты / мес / ед.</t>
        </is>
      </c>
      <c r="I14" s="3" t="inlineStr">
        <is>
          <t>Ед. на объект</t>
        </is>
      </c>
      <c r="J14" s="3" t="inlineStr">
        <is>
          <t>Attach rate (доля новых объектов)</t>
        </is>
      </c>
      <c r="K14" s="3" t="inlineStr">
        <is>
          <t>Месяц запуска</t>
        </is>
      </c>
      <c r="L14" s="3" t="inlineStr">
        <is>
          <t>ID</t>
        </is>
      </c>
    </row>
    <row r="15">
      <c r="B15" t="inlineStr">
        <is>
          <t>Hotel Agent OS (платформа агентов)</t>
        </is>
      </c>
      <c r="C15" s="12" t="n">
        <v>0</v>
      </c>
      <c r="D15" s="12" t="n">
        <v>600</v>
      </c>
      <c r="E15" s="12" t="n">
        <v>1500</v>
      </c>
      <c r="F15" s="12" t="n">
        <v>250</v>
      </c>
      <c r="G15" s="12" t="n">
        <v>0</v>
      </c>
      <c r="H15" s="12" t="n">
        <v>60</v>
      </c>
      <c r="I15" s="13" t="n">
        <v>1</v>
      </c>
      <c r="J15" s="10" t="n">
        <v>1</v>
      </c>
      <c r="K15" s="13" t="n">
        <v>1</v>
      </c>
      <c r="L15" t="inlineStr">
        <is>
          <t>C01</t>
        </is>
      </c>
    </row>
    <row r="16">
      <c r="B16" t="inlineStr">
        <is>
          <t>GuestNode Lobby (ресепшен)</t>
        </is>
      </c>
      <c r="C16" s="12" t="n">
        <v>280</v>
      </c>
      <c r="D16" s="12" t="n">
        <v>60</v>
      </c>
      <c r="E16" s="12" t="n">
        <v>590</v>
      </c>
      <c r="F16" s="12" t="n">
        <v>40</v>
      </c>
      <c r="G16" s="12" t="n">
        <v>15</v>
      </c>
      <c r="H16" s="12" t="n">
        <v>8</v>
      </c>
      <c r="I16" s="13" t="n">
        <v>1</v>
      </c>
      <c r="J16" s="10" t="n">
        <v>0.5</v>
      </c>
      <c r="K16" s="13" t="n">
        <v>3</v>
      </c>
      <c r="L16" t="inlineStr">
        <is>
          <t>C02</t>
        </is>
      </c>
    </row>
    <row r="17">
      <c r="B17" t="inlineStr">
        <is>
          <t>GuestNode в номере</t>
        </is>
      </c>
      <c r="C17" s="12" t="n">
        <v>95</v>
      </c>
      <c r="D17" s="12" t="n">
        <v>15</v>
      </c>
      <c r="E17" s="12" t="n">
        <v>180</v>
      </c>
      <c r="F17" s="12" t="n">
        <v>6</v>
      </c>
      <c r="G17" s="12" t="n">
        <v>0</v>
      </c>
      <c r="H17" s="12" t="n">
        <v>2.5</v>
      </c>
      <c r="I17" s="13" t="n">
        <v>12</v>
      </c>
      <c r="J17" s="10" t="n">
        <v>0.2</v>
      </c>
      <c r="K17" s="13" t="n">
        <v>6</v>
      </c>
      <c r="L17" t="inlineStr">
        <is>
          <t>C03</t>
        </is>
      </c>
    </row>
    <row r="18">
      <c r="B18" t="inlineStr">
        <is>
          <t>Smart Travel Wall (микро-магазин)</t>
        </is>
      </c>
      <c r="C18" s="12" t="n">
        <v>2800</v>
      </c>
      <c r="D18" s="12" t="n">
        <v>250</v>
      </c>
      <c r="E18" s="12" t="n">
        <v>4200</v>
      </c>
      <c r="F18" s="12" t="n">
        <v>60</v>
      </c>
      <c r="G18" s="12" t="n">
        <v>150</v>
      </c>
      <c r="H18" s="12" t="n">
        <v>40</v>
      </c>
      <c r="I18" s="13" t="n">
        <v>1</v>
      </c>
      <c r="J18" s="10" t="n">
        <v>0.25</v>
      </c>
      <c r="K18" s="13" t="n">
        <v>4</v>
      </c>
      <c r="L18" t="inlineStr">
        <is>
          <t>C04</t>
        </is>
      </c>
    </row>
    <row r="19">
      <c r="B19" t="inlineStr">
        <is>
          <t>Rental-локеры</t>
        </is>
      </c>
      <c r="C19" s="12" t="n">
        <v>900</v>
      </c>
      <c r="D19" s="12" t="n">
        <v>120</v>
      </c>
      <c r="E19" s="12" t="n">
        <v>1500</v>
      </c>
      <c r="F19" s="12" t="n">
        <v>20</v>
      </c>
      <c r="G19" s="12" t="n">
        <v>60</v>
      </c>
      <c r="H19" s="12" t="n">
        <v>10</v>
      </c>
      <c r="I19" s="13" t="n">
        <v>1</v>
      </c>
      <c r="J19" s="10" t="n">
        <v>0.25</v>
      </c>
      <c r="K19" s="13" t="n">
        <v>4</v>
      </c>
      <c r="L19" t="inlineStr">
        <is>
          <t>C05</t>
        </is>
      </c>
    </row>
    <row r="20">
      <c r="B20" t="inlineStr">
        <is>
          <t>Локеры для багажа</t>
        </is>
      </c>
      <c r="C20" s="12" t="n">
        <v>1800</v>
      </c>
      <c r="D20" s="12" t="n">
        <v>200</v>
      </c>
      <c r="E20" s="12" t="n">
        <v>2800</v>
      </c>
      <c r="F20" s="12" t="n">
        <v>25</v>
      </c>
      <c r="G20" s="12" t="n">
        <v>90</v>
      </c>
      <c r="H20" s="12" t="n">
        <v>10</v>
      </c>
      <c r="I20" s="13" t="n">
        <v>1</v>
      </c>
      <c r="J20" s="10" t="n">
        <v>0.15</v>
      </c>
      <c r="K20" s="13" t="n">
        <v>6</v>
      </c>
      <c r="L20" t="inlineStr">
        <is>
          <t>C06</t>
        </is>
      </c>
    </row>
    <row r="21">
      <c r="B21" t="inlineStr">
        <is>
          <t>Аренда power bank</t>
        </is>
      </c>
      <c r="C21" s="12" t="n">
        <v>700</v>
      </c>
      <c r="D21" s="12" t="n">
        <v>60</v>
      </c>
      <c r="E21" s="12" t="n">
        <v>1100</v>
      </c>
      <c r="F21" s="12" t="n">
        <v>15</v>
      </c>
      <c r="G21" s="12" t="n">
        <v>45</v>
      </c>
      <c r="H21" s="12" t="n">
        <v>12</v>
      </c>
      <c r="I21" s="13" t="n">
        <v>1</v>
      </c>
      <c r="J21" s="10" t="n">
        <v>0.15</v>
      </c>
      <c r="K21" s="13" t="n">
        <v>6</v>
      </c>
      <c r="L21" t="inlineStr">
        <is>
          <t>C07</t>
        </is>
      </c>
    </row>
    <row r="22">
      <c r="B22" t="inlineStr">
        <is>
          <t>IoT-комплект энергосбережения (на номер)</t>
        </is>
      </c>
      <c r="C22" s="12" t="n">
        <v>70</v>
      </c>
      <c r="D22" s="12" t="n">
        <v>25</v>
      </c>
      <c r="E22" s="12" t="n">
        <v>140</v>
      </c>
      <c r="F22" s="12" t="n">
        <v>3</v>
      </c>
      <c r="G22" s="12" t="n">
        <v>0</v>
      </c>
      <c r="H22" s="12" t="n">
        <v>0.8</v>
      </c>
      <c r="I22" s="13" t="n">
        <v>25</v>
      </c>
      <c r="J22" s="10" t="n">
        <v>0.3</v>
      </c>
      <c r="K22" s="13" t="n">
        <v>3</v>
      </c>
      <c r="L22" t="inlineStr">
        <is>
          <t>C08</t>
        </is>
      </c>
    </row>
    <row r="23">
      <c r="B23" t="inlineStr">
        <is>
          <t>Smart access (на дверь)</t>
        </is>
      </c>
      <c r="C23" s="12" t="n">
        <v>130</v>
      </c>
      <c r="D23" s="12" t="n">
        <v>40</v>
      </c>
      <c r="E23" s="12" t="n">
        <v>260</v>
      </c>
      <c r="F23" s="12" t="n">
        <v>2</v>
      </c>
      <c r="G23" s="12" t="n">
        <v>0</v>
      </c>
      <c r="H23" s="12" t="n">
        <v>0.5</v>
      </c>
      <c r="I23" s="13" t="n">
        <v>15</v>
      </c>
      <c r="J23" s="10" t="n">
        <v>0.15</v>
      </c>
      <c r="K23" s="13" t="n">
        <v>8</v>
      </c>
      <c r="L23" t="inlineStr">
        <is>
          <t>C09</t>
        </is>
      </c>
    </row>
    <row r="24">
      <c r="B24" t="inlineStr">
        <is>
          <t>Датчики Healthy Room (на номер)</t>
        </is>
      </c>
      <c r="C24" s="12" t="n">
        <v>45</v>
      </c>
      <c r="D24" s="12" t="n">
        <v>10</v>
      </c>
      <c r="E24" s="12" t="n">
        <v>90</v>
      </c>
      <c r="F24" s="12" t="n">
        <v>1.5</v>
      </c>
      <c r="G24" s="12" t="n">
        <v>0</v>
      </c>
      <c r="H24" s="12" t="n">
        <v>0.4</v>
      </c>
      <c r="I24" s="13" t="n">
        <v>15</v>
      </c>
      <c r="J24" s="10" t="n">
        <v>0.1</v>
      </c>
      <c r="K24" s="13" t="n">
        <v>9</v>
      </c>
      <c r="L24" t="inlineStr">
        <is>
          <t>C10</t>
        </is>
      </c>
    </row>
    <row r="25">
      <c r="B25" t="inlineStr">
        <is>
          <t>Киоск check-in / ID</t>
        </is>
      </c>
      <c r="C25" s="12" t="n">
        <v>1500</v>
      </c>
      <c r="D25" s="12" t="n">
        <v>150</v>
      </c>
      <c r="E25" s="12" t="n">
        <v>2600</v>
      </c>
      <c r="F25" s="12" t="n">
        <v>50</v>
      </c>
      <c r="G25" s="12" t="n">
        <v>10</v>
      </c>
      <c r="H25" s="12" t="n">
        <v>15</v>
      </c>
      <c r="I25" s="13" t="n">
        <v>1</v>
      </c>
      <c r="J25" s="10" t="n">
        <v>0.1</v>
      </c>
      <c r="K25" s="13" t="n">
        <v>8</v>
      </c>
      <c r="L25" t="inlineStr">
        <is>
          <t>C11</t>
        </is>
      </c>
    </row>
    <row r="26">
      <c r="B26" t="inlineStr">
        <is>
          <t>Локальный marketplace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120</v>
      </c>
      <c r="H26" s="12" t="n">
        <v>5</v>
      </c>
      <c r="I26" s="13" t="n">
        <v>1</v>
      </c>
      <c r="J26" s="10" t="n">
        <v>0.4</v>
      </c>
      <c r="K26" s="13" t="n">
        <v>5</v>
      </c>
      <c r="L26" t="inlineStr">
        <is>
          <t>C12</t>
        </is>
      </c>
    </row>
    <row r="27">
      <c r="B27" t="inlineStr">
        <is>
          <t>Робот-доставщик (аренда)</t>
        </is>
      </c>
      <c r="C27" s="12" t="n">
        <v>9000</v>
      </c>
      <c r="D27" s="12" t="n">
        <v>500</v>
      </c>
      <c r="E27" s="12" t="n">
        <v>0</v>
      </c>
      <c r="F27" s="12" t="n">
        <v>700</v>
      </c>
      <c r="G27" s="12" t="n">
        <v>0</v>
      </c>
      <c r="H27" s="12" t="n">
        <v>120</v>
      </c>
      <c r="I27" s="13" t="n">
        <v>1</v>
      </c>
      <c r="J27" s="10" t="n">
        <v>0.02</v>
      </c>
      <c r="K27" s="13" t="n">
        <v>18</v>
      </c>
      <c r="L27" t="inlineStr">
        <is>
          <t>C13</t>
        </is>
      </c>
    </row>
    <row r="28">
      <c r="B28" t="inlineStr">
        <is>
          <t>Робот-уборщик (аренда)</t>
        </is>
      </c>
      <c r="C28" s="12" t="n">
        <v>8000</v>
      </c>
      <c r="D28" s="12" t="n">
        <v>400</v>
      </c>
      <c r="E28" s="12" t="n">
        <v>0</v>
      </c>
      <c r="F28" s="12" t="n">
        <v>650</v>
      </c>
      <c r="G28" s="12" t="n">
        <v>0</v>
      </c>
      <c r="H28" s="12" t="n">
        <v>110</v>
      </c>
      <c r="I28" s="13" t="n">
        <v>1</v>
      </c>
      <c r="J28" s="10" t="n">
        <v>0.03</v>
      </c>
      <c r="K28" s="13" t="n">
        <v>15</v>
      </c>
      <c r="L28" t="inlineStr">
        <is>
          <t>C14</t>
        </is>
      </c>
    </row>
    <row r="29">
      <c r="B29" t="inlineStr">
        <is>
          <t>Регулируемый vending (только fee лицензированного партнёра)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80</v>
      </c>
      <c r="H29" s="12" t="n">
        <v>10</v>
      </c>
      <c r="I29" s="13" t="n">
        <v>1</v>
      </c>
      <c r="J29" s="10" t="n">
        <v>0</v>
      </c>
      <c r="K29" s="13" t="n">
        <v>12</v>
      </c>
      <c r="L29" t="inlineStr">
        <is>
          <t>C15</t>
        </is>
      </c>
    </row>
    <row r="32">
      <c r="B32" s="8" t="inlineStr">
        <is>
          <t>Постоянные ежемесячные расходы</t>
        </is>
      </c>
    </row>
    <row r="33">
      <c r="B33" s="3" t="inlineStr">
        <is>
          <t>Категория</t>
        </is>
      </c>
      <c r="C33" s="3" t="inlineStr">
        <is>
          <t>EUR / мес</t>
        </is>
      </c>
      <c r="D33" s="3" t="inlineStr">
        <is>
          <t>Месяц старта</t>
        </is>
      </c>
    </row>
    <row r="34">
      <c r="B34" t="inlineStr">
        <is>
          <t>Founder/FDE-инженер</t>
        </is>
      </c>
      <c r="C34" s="11" t="n">
        <v>3500</v>
      </c>
      <c r="D34" s="14" t="n">
        <v>1</v>
      </c>
    </row>
    <row r="35">
      <c r="B35" t="inlineStr">
        <is>
          <t>Продажи и партнёрства (part-time)</t>
        </is>
      </c>
      <c r="C35" s="11" t="n">
        <v>2000</v>
      </c>
      <c r="D35" s="14" t="n">
        <v>3</v>
      </c>
    </row>
    <row r="36">
      <c r="B36" t="inlineStr">
        <is>
          <t>Монтажник/поддержка (подряд)</t>
        </is>
      </c>
      <c r="C36" s="11" t="n">
        <v>1500</v>
      </c>
      <c r="D36" s="14" t="n">
        <v>4</v>
      </c>
    </row>
    <row r="37">
      <c r="B37" t="inlineStr">
        <is>
          <t>Cloud + LLM (база)</t>
        </is>
      </c>
      <c r="C37" s="11" t="n">
        <v>400</v>
      </c>
      <c r="D37" s="14" t="n">
        <v>1</v>
      </c>
    </row>
    <row r="38">
      <c r="B38" t="inlineStr">
        <is>
          <t>Юристы, compliance, бухгалтерия</t>
        </is>
      </c>
      <c r="C38" s="11" t="n">
        <v>900</v>
      </c>
      <c r="D38" s="14" t="n">
        <v>1</v>
      </c>
    </row>
    <row r="39">
      <c r="B39" t="inlineStr">
        <is>
          <t>Маркетинг и выставки</t>
        </is>
      </c>
      <c r="C39" s="11" t="n">
        <v>800</v>
      </c>
      <c r="D39" s="14" t="n">
        <v>1</v>
      </c>
    </row>
    <row r="40">
      <c r="B40" t="inlineStr">
        <is>
          <t>Страхование</t>
        </is>
      </c>
      <c r="C40" s="11" t="n">
        <v>250</v>
      </c>
      <c r="D40" s="14" t="n">
        <v>2</v>
      </c>
    </row>
    <row r="41">
      <c r="B41" t="inlineStr">
        <is>
          <t>Склад/офис</t>
        </is>
      </c>
      <c r="C41" s="11" t="n">
        <v>400</v>
      </c>
      <c r="D41" s="14" t="n">
        <v>2</v>
      </c>
    </row>
    <row r="42">
      <c r="B42" t="inlineStr">
        <is>
          <t>Поездки</t>
        </is>
      </c>
      <c r="C42" s="11" t="n">
        <v>500</v>
      </c>
      <c r="D42" s="14" t="n">
        <v>1</v>
      </c>
    </row>
    <row r="45">
      <c r="B45" s="8" t="inlineStr">
        <is>
          <t>Разовые расходы запуска (месяц 1)</t>
        </is>
      </c>
    </row>
    <row r="46">
      <c r="B46" t="inlineStr">
        <is>
          <t>Предсертификационный аудит CE/RED/EMC</t>
        </is>
      </c>
      <c r="C46" s="11" t="n">
        <v>6000</v>
      </c>
    </row>
    <row r="47">
      <c r="B47" t="inlineStr">
        <is>
          <t>Пробные партии у OEM</t>
        </is>
      </c>
      <c r="C47" s="11" t="n">
        <v>5000</v>
      </c>
    </row>
    <row r="48">
      <c r="B48" t="inlineStr">
        <is>
          <t>Юр. подготовка (контракты, GDPR/DPA)</t>
        </is>
      </c>
      <c r="C48" s="11" t="n">
        <v>4000</v>
      </c>
    </row>
    <row r="49">
      <c r="B49" t="inlineStr">
        <is>
          <t>Демо-комплект</t>
        </is>
      </c>
      <c r="C49" s="11" t="n">
        <v>3500</v>
      </c>
    </row>
    <row r="50">
      <c r="B50" t="inlineStr">
        <is>
          <t>Бренд и сайт</t>
        </is>
      </c>
      <c r="C50" s="1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Z8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8" t="inlineStr">
        <is>
          <t>Новые объекты / мес</t>
        </is>
      </c>
    </row>
    <row r="4">
      <c r="B4" s="3" t="inlineStr">
        <is>
          <t>Месяц</t>
        </is>
      </c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  <c r="W4" s="3" t="n">
        <v>21</v>
      </c>
      <c r="X4" s="3" t="n">
        <v>22</v>
      </c>
      <c r="Y4" s="3" t="n">
        <v>23</v>
      </c>
      <c r="Z4" s="3" t="n">
        <v>24</v>
      </c>
    </row>
    <row r="5">
      <c r="B5" t="inlineStr">
        <is>
          <t>Lean</t>
        </is>
      </c>
      <c r="C5" s="14" t="n">
        <v>0</v>
      </c>
      <c r="D5" s="14" t="n">
        <v>0</v>
      </c>
      <c r="E5" s="14" t="n">
        <v>1</v>
      </c>
      <c r="F5" s="14" t="n">
        <v>1</v>
      </c>
      <c r="G5" s="14" t="n">
        <v>1</v>
      </c>
      <c r="H5" s="14" t="n">
        <v>1</v>
      </c>
      <c r="I5" s="14" t="n">
        <v>1</v>
      </c>
      <c r="J5" s="14" t="n">
        <v>1</v>
      </c>
      <c r="K5" s="14" t="n">
        <v>1</v>
      </c>
      <c r="L5" s="14" t="n">
        <v>1</v>
      </c>
      <c r="M5" s="14" t="n">
        <v>1</v>
      </c>
      <c r="N5" s="14" t="n">
        <v>1</v>
      </c>
      <c r="O5" s="14" t="n">
        <v>2</v>
      </c>
      <c r="P5" s="14" t="n">
        <v>2</v>
      </c>
      <c r="Q5" s="14" t="n">
        <v>2</v>
      </c>
      <c r="R5" s="14" t="n">
        <v>2</v>
      </c>
      <c r="S5" s="14" t="n">
        <v>2</v>
      </c>
      <c r="T5" s="14" t="n">
        <v>2</v>
      </c>
      <c r="U5" s="14" t="n">
        <v>2</v>
      </c>
      <c r="V5" s="14" t="n">
        <v>2</v>
      </c>
      <c r="W5" s="14" t="n">
        <v>2</v>
      </c>
      <c r="X5" s="14" t="n">
        <v>2</v>
      </c>
      <c r="Y5" s="14" t="n">
        <v>2</v>
      </c>
      <c r="Z5" s="14" t="n">
        <v>2</v>
      </c>
    </row>
    <row r="6">
      <c r="B6" t="inlineStr">
        <is>
          <t>Base</t>
        </is>
      </c>
      <c r="C6" s="14" t="n">
        <v>0</v>
      </c>
      <c r="D6" s="14" t="n">
        <v>0</v>
      </c>
      <c r="E6" s="14" t="n">
        <v>2</v>
      </c>
      <c r="F6" s="14" t="n">
        <v>2</v>
      </c>
      <c r="G6" s="14" t="n">
        <v>2</v>
      </c>
      <c r="H6" s="14" t="n">
        <v>2</v>
      </c>
      <c r="I6" s="14" t="n">
        <v>4</v>
      </c>
      <c r="J6" s="14" t="n">
        <v>4</v>
      </c>
      <c r="K6" s="14" t="n">
        <v>4</v>
      </c>
      <c r="L6" s="14" t="n">
        <v>4</v>
      </c>
      <c r="M6" s="14" t="n">
        <v>4</v>
      </c>
      <c r="N6" s="14" t="n">
        <v>4</v>
      </c>
      <c r="O6" s="14" t="n">
        <v>4</v>
      </c>
      <c r="P6" s="14" t="n">
        <v>4</v>
      </c>
      <c r="Q6" s="14" t="n">
        <v>4</v>
      </c>
      <c r="R6" s="14" t="n">
        <v>4</v>
      </c>
      <c r="S6" s="14" t="n">
        <v>4</v>
      </c>
      <c r="T6" s="14" t="n">
        <v>4</v>
      </c>
      <c r="U6" s="14" t="n">
        <v>4</v>
      </c>
      <c r="V6" s="14" t="n">
        <v>4</v>
      </c>
      <c r="W6" s="14" t="n">
        <v>4</v>
      </c>
      <c r="X6" s="14" t="n">
        <v>4</v>
      </c>
      <c r="Y6" s="14" t="n">
        <v>4</v>
      </c>
      <c r="Z6" s="14" t="n">
        <v>4</v>
      </c>
    </row>
    <row r="7">
      <c r="B7" t="inlineStr">
        <is>
          <t>Regional</t>
        </is>
      </c>
      <c r="C7" s="14" t="n">
        <v>0</v>
      </c>
      <c r="D7" s="14" t="n">
        <v>0</v>
      </c>
      <c r="E7" s="14" t="n">
        <v>4</v>
      </c>
      <c r="F7" s="14" t="n">
        <v>4</v>
      </c>
      <c r="G7" s="14" t="n">
        <v>4</v>
      </c>
      <c r="H7" s="14" t="n">
        <v>4</v>
      </c>
      <c r="I7" s="14" t="n">
        <v>8</v>
      </c>
      <c r="J7" s="14" t="n">
        <v>8</v>
      </c>
      <c r="K7" s="14" t="n">
        <v>8</v>
      </c>
      <c r="L7" s="14" t="n">
        <v>8</v>
      </c>
      <c r="M7" s="14" t="n">
        <v>8</v>
      </c>
      <c r="N7" s="14" t="n">
        <v>8</v>
      </c>
      <c r="O7" s="14" t="n">
        <v>8</v>
      </c>
      <c r="P7" s="14" t="n">
        <v>8</v>
      </c>
      <c r="Q7" s="14" t="n">
        <v>8</v>
      </c>
      <c r="R7" s="14" t="n">
        <v>8</v>
      </c>
      <c r="S7" s="14" t="n">
        <v>8</v>
      </c>
      <c r="T7" s="14" t="n">
        <v>8</v>
      </c>
      <c r="U7" s="14" t="n">
        <v>8</v>
      </c>
      <c r="V7" s="14" t="n">
        <v>8</v>
      </c>
      <c r="W7" s="14" t="n">
        <v>8</v>
      </c>
      <c r="X7" s="14" t="n">
        <v>8</v>
      </c>
      <c r="Y7" s="14" t="n">
        <v>8</v>
      </c>
      <c r="Z7" s="14" t="n">
        <v>8</v>
      </c>
    </row>
    <row r="8">
      <c r="B8" s="8" t="inlineStr">
        <is>
          <t>Выбранный сценарий</t>
        </is>
      </c>
      <c r="C8" s="8">
        <f>CHOOSE('Допущения'!$C$5,C5,C6,C7)</f>
        <v/>
      </c>
      <c r="D8" s="8">
        <f>CHOOSE('Допущения'!$C$5,D5,D6,D7)</f>
        <v/>
      </c>
      <c r="E8" s="8">
        <f>CHOOSE('Допущения'!$C$5,E5,E6,E7)</f>
        <v/>
      </c>
      <c r="F8" s="8">
        <f>CHOOSE('Допущения'!$C$5,F5,F6,F7)</f>
        <v/>
      </c>
      <c r="G8" s="8">
        <f>CHOOSE('Допущения'!$C$5,G5,G6,G7)</f>
        <v/>
      </c>
      <c r="H8" s="8">
        <f>CHOOSE('Допущения'!$C$5,H5,H6,H7)</f>
        <v/>
      </c>
      <c r="I8" s="8">
        <f>CHOOSE('Допущения'!$C$5,I5,I6,I7)</f>
        <v/>
      </c>
      <c r="J8" s="8">
        <f>CHOOSE('Допущения'!$C$5,J5,J6,J7)</f>
        <v/>
      </c>
      <c r="K8" s="8">
        <f>CHOOSE('Допущения'!$C$5,K5,K6,K7)</f>
        <v/>
      </c>
      <c r="L8" s="8">
        <f>CHOOSE('Допущения'!$C$5,L5,L6,L7)</f>
        <v/>
      </c>
      <c r="M8" s="8">
        <f>CHOOSE('Допущения'!$C$5,M5,M6,M7)</f>
        <v/>
      </c>
      <c r="N8" s="8">
        <f>CHOOSE('Допущения'!$C$5,N5,N6,N7)</f>
        <v/>
      </c>
      <c r="O8" s="8">
        <f>CHOOSE('Допущения'!$C$5,O5,O6,O7)</f>
        <v/>
      </c>
      <c r="P8" s="8">
        <f>CHOOSE('Допущения'!$C$5,P5,P6,P7)</f>
        <v/>
      </c>
      <c r="Q8" s="8">
        <f>CHOOSE('Допущения'!$C$5,Q5,Q6,Q7)</f>
        <v/>
      </c>
      <c r="R8" s="8">
        <f>CHOOSE('Допущения'!$C$5,R5,R6,R7)</f>
        <v/>
      </c>
      <c r="S8" s="8">
        <f>CHOOSE('Допущения'!$C$5,S5,S6,S7)</f>
        <v/>
      </c>
      <c r="T8" s="8">
        <f>CHOOSE('Допущения'!$C$5,T5,T6,T7)</f>
        <v/>
      </c>
      <c r="U8" s="8">
        <f>CHOOSE('Допущения'!$C$5,U5,U6,U7)</f>
        <v/>
      </c>
      <c r="V8" s="8">
        <f>CHOOSE('Допущения'!$C$5,V5,V6,V7)</f>
        <v/>
      </c>
      <c r="W8" s="8">
        <f>CHOOSE('Допущения'!$C$5,W5,W6,W7)</f>
        <v/>
      </c>
      <c r="X8" s="8">
        <f>CHOOSE('Допущения'!$C$5,X5,X6,X7)</f>
        <v/>
      </c>
      <c r="Y8" s="8">
        <f>CHOOSE('Допущения'!$C$5,Y5,Y6,Y7)</f>
        <v/>
      </c>
      <c r="Z8" s="8">
        <f>CHOOSE('Допущения'!$C$5,Z5,Z6,Z7)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B1" s="8" t="inlineStr">
        <is>
          <t>Модель запуска в Лигурии: hardware + agent-сервисы для отелей (EUR, без НДС)</t>
        </is>
      </c>
    </row>
    <row r="3">
      <c r="A3" s="3" t="inlineStr">
        <is>
          <t>ID</t>
        </is>
      </c>
      <c r="B3" s="3" t="inlineStr">
        <is>
          <t>Категория</t>
        </is>
      </c>
      <c r="C3" s="3" t="inlineStr">
        <is>
          <t>metric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inlineStr">
        <is>
          <t>24 мес.</t>
        </is>
      </c>
    </row>
    <row r="4">
      <c r="B4" t="inlineStr">
        <is>
          <t>Новые объекты / мес</t>
        </is>
      </c>
      <c r="D4">
        <f>'Сценарии'!C8</f>
        <v/>
      </c>
      <c r="E4">
        <f>'Сценарии'!D8</f>
        <v/>
      </c>
      <c r="F4">
        <f>'Сценарии'!E8</f>
        <v/>
      </c>
      <c r="G4">
        <f>'Сценарии'!F8</f>
        <v/>
      </c>
      <c r="H4">
        <f>'Сценарии'!G8</f>
        <v/>
      </c>
      <c r="I4">
        <f>'Сценарии'!H8</f>
        <v/>
      </c>
      <c r="J4">
        <f>'Сценарии'!I8</f>
        <v/>
      </c>
      <c r="K4">
        <f>'Сценарии'!J8</f>
        <v/>
      </c>
      <c r="L4">
        <f>'Сценарии'!K8</f>
        <v/>
      </c>
      <c r="M4">
        <f>'Сценарии'!L8</f>
        <v/>
      </c>
      <c r="N4">
        <f>'Сценарии'!M8</f>
        <v/>
      </c>
      <c r="O4">
        <f>'Сценарии'!N8</f>
        <v/>
      </c>
      <c r="P4">
        <f>'Сценарии'!O8</f>
        <v/>
      </c>
      <c r="Q4">
        <f>'Сценарии'!P8</f>
        <v/>
      </c>
      <c r="R4">
        <f>'Сценарии'!Q8</f>
        <v/>
      </c>
      <c r="S4">
        <f>'Сценарии'!R8</f>
        <v/>
      </c>
      <c r="T4">
        <f>'Сценарии'!S8</f>
        <v/>
      </c>
      <c r="U4">
        <f>'Сценарии'!T8</f>
        <v/>
      </c>
      <c r="V4">
        <f>'Сценарии'!U8</f>
        <v/>
      </c>
      <c r="W4">
        <f>'Сценарии'!V8</f>
        <v/>
      </c>
      <c r="X4">
        <f>'Сценарии'!W8</f>
        <v/>
      </c>
      <c r="Y4">
        <f>'Сценарии'!X8</f>
        <v/>
      </c>
      <c r="Z4">
        <f>'Сценарии'!Y8</f>
        <v/>
      </c>
      <c r="AA4">
        <f>'Сценарии'!Z8</f>
        <v/>
      </c>
    </row>
    <row r="5">
      <c r="B5" t="inlineStr">
        <is>
          <t>Активные объекты</t>
        </is>
      </c>
      <c r="D5">
        <f>D4</f>
        <v/>
      </c>
      <c r="E5">
        <f>D5*(1-'Допущения'!$C$6)+E4</f>
        <v/>
      </c>
      <c r="F5">
        <f>E5*(1-'Допущения'!$C$6)+F4</f>
        <v/>
      </c>
      <c r="G5">
        <f>F5*(1-'Допущения'!$C$6)+G4</f>
        <v/>
      </c>
      <c r="H5">
        <f>G5*(1-'Допущения'!$C$6)+H4</f>
        <v/>
      </c>
      <c r="I5">
        <f>H5*(1-'Допущения'!$C$6)+I4</f>
        <v/>
      </c>
      <c r="J5">
        <f>I5*(1-'Допущения'!$C$6)+J4</f>
        <v/>
      </c>
      <c r="K5">
        <f>J5*(1-'Допущения'!$C$6)+K4</f>
        <v/>
      </c>
      <c r="L5">
        <f>K5*(1-'Допущения'!$C$6)+L4</f>
        <v/>
      </c>
      <c r="M5">
        <f>L5*(1-'Допущения'!$C$6)+M4</f>
        <v/>
      </c>
      <c r="N5">
        <f>M5*(1-'Допущения'!$C$6)+N4</f>
        <v/>
      </c>
      <c r="O5">
        <f>N5*(1-'Допущения'!$C$6)+O4</f>
        <v/>
      </c>
      <c r="P5">
        <f>O5*(1-'Допущения'!$C$6)+P4</f>
        <v/>
      </c>
      <c r="Q5">
        <f>P5*(1-'Допущения'!$C$6)+Q4</f>
        <v/>
      </c>
      <c r="R5">
        <f>Q5*(1-'Допущения'!$C$6)+R4</f>
        <v/>
      </c>
      <c r="S5">
        <f>R5*(1-'Допущения'!$C$6)+S4</f>
        <v/>
      </c>
      <c r="T5">
        <f>S5*(1-'Допущения'!$C$6)+T4</f>
        <v/>
      </c>
      <c r="U5">
        <f>T5*(1-'Допущения'!$C$6)+U4</f>
        <v/>
      </c>
      <c r="V5">
        <f>U5*(1-'Допущения'!$C$6)+V4</f>
        <v/>
      </c>
      <c r="W5">
        <f>V5*(1-'Допущения'!$C$6)+W4</f>
        <v/>
      </c>
      <c r="X5">
        <f>W5*(1-'Допущения'!$C$6)+X4</f>
        <v/>
      </c>
      <c r="Y5">
        <f>X5*(1-'Допущения'!$C$6)+Y4</f>
        <v/>
      </c>
      <c r="Z5">
        <f>Y5*(1-'Допущения'!$C$6)+Z4</f>
        <v/>
      </c>
      <c r="AA5">
        <f>Z5*(1-'Допущения'!$C$6)+AA4</f>
        <v/>
      </c>
    </row>
    <row r="7">
      <c r="A7" t="inlineStr">
        <is>
          <t>C01</t>
        </is>
      </c>
      <c r="B7" t="inlineStr">
        <is>
          <t>Hotel Agent OS (платформа агентов)</t>
        </is>
      </c>
      <c r="C7" t="inlineStr">
        <is>
          <t>NEWU</t>
        </is>
      </c>
      <c r="D7" s="15">
        <f>IF(D$3&gt;='Допущения'!$K$15,D$4*'Допущения'!$J$15*'Допущения'!$I$15,0)</f>
        <v/>
      </c>
      <c r="E7" s="15">
        <f>IF(E$3&gt;='Допущения'!$K$15,E$4*'Допущения'!$J$15*'Допущения'!$I$15,0)</f>
        <v/>
      </c>
      <c r="F7" s="15">
        <f>IF(F$3&gt;='Допущения'!$K$15,F$4*'Допущения'!$J$15*'Допущения'!$I$15,0)</f>
        <v/>
      </c>
      <c r="G7" s="15">
        <f>IF(G$3&gt;='Допущения'!$K$15,G$4*'Допущения'!$J$15*'Допущения'!$I$15,0)</f>
        <v/>
      </c>
      <c r="H7" s="15">
        <f>IF(H$3&gt;='Допущения'!$K$15,H$4*'Допущения'!$J$15*'Допущения'!$I$15,0)</f>
        <v/>
      </c>
      <c r="I7" s="15">
        <f>IF(I$3&gt;='Допущения'!$K$15,I$4*'Допущения'!$J$15*'Допущения'!$I$15,0)</f>
        <v/>
      </c>
      <c r="J7" s="15">
        <f>IF(J$3&gt;='Допущения'!$K$15,J$4*'Допущения'!$J$15*'Допущения'!$I$15,0)</f>
        <v/>
      </c>
      <c r="K7" s="15">
        <f>IF(K$3&gt;='Допущения'!$K$15,K$4*'Допущения'!$J$15*'Допущения'!$I$15,0)</f>
        <v/>
      </c>
      <c r="L7" s="15">
        <f>IF(L$3&gt;='Допущения'!$K$15,L$4*'Допущения'!$J$15*'Допущения'!$I$15,0)</f>
        <v/>
      </c>
      <c r="M7" s="15">
        <f>IF(M$3&gt;='Допущения'!$K$15,M$4*'Допущения'!$J$15*'Допущения'!$I$15,0)</f>
        <v/>
      </c>
      <c r="N7" s="15">
        <f>IF(N$3&gt;='Допущения'!$K$15,N$4*'Допущения'!$J$15*'Допущения'!$I$15,0)</f>
        <v/>
      </c>
      <c r="O7" s="15">
        <f>IF(O$3&gt;='Допущения'!$K$15,O$4*'Допущения'!$J$15*'Допущения'!$I$15,0)</f>
        <v/>
      </c>
      <c r="P7" s="15">
        <f>IF(P$3&gt;='Допущения'!$K$15,P$4*'Допущения'!$J$15*'Допущения'!$I$15,0)</f>
        <v/>
      </c>
      <c r="Q7" s="15">
        <f>IF(Q$3&gt;='Допущения'!$K$15,Q$4*'Допущения'!$J$15*'Допущения'!$I$15,0)</f>
        <v/>
      </c>
      <c r="R7" s="15">
        <f>IF(R$3&gt;='Допущения'!$K$15,R$4*'Допущения'!$J$15*'Допущения'!$I$15,0)</f>
        <v/>
      </c>
      <c r="S7" s="15">
        <f>IF(S$3&gt;='Допущения'!$K$15,S$4*'Допущения'!$J$15*'Допущения'!$I$15,0)</f>
        <v/>
      </c>
      <c r="T7" s="15">
        <f>IF(T$3&gt;='Допущения'!$K$15,T$4*'Допущения'!$J$15*'Допущения'!$I$15,0)</f>
        <v/>
      </c>
      <c r="U7" s="15">
        <f>IF(U$3&gt;='Допущения'!$K$15,U$4*'Допущения'!$J$15*'Допущения'!$I$15,0)</f>
        <v/>
      </c>
      <c r="V7" s="15">
        <f>IF(V$3&gt;='Допущения'!$K$15,V$4*'Допущения'!$J$15*'Допущения'!$I$15,0)</f>
        <v/>
      </c>
      <c r="W7" s="15">
        <f>IF(W$3&gt;='Допущения'!$K$15,W$4*'Допущения'!$J$15*'Допущения'!$I$15,0)</f>
        <v/>
      </c>
      <c r="X7" s="15">
        <f>IF(X$3&gt;='Допущения'!$K$15,X$4*'Допущения'!$J$15*'Допущения'!$I$15,0)</f>
        <v/>
      </c>
      <c r="Y7" s="15">
        <f>IF(Y$3&gt;='Допущения'!$K$15,Y$4*'Допущения'!$J$15*'Допущения'!$I$15,0)</f>
        <v/>
      </c>
      <c r="Z7" s="15">
        <f>IF(Z$3&gt;='Допущения'!$K$15,Z$4*'Допущения'!$J$15*'Допущения'!$I$15,0)</f>
        <v/>
      </c>
      <c r="AA7" s="15">
        <f>IF(AA$3&gt;='Допущения'!$K$15,AA$4*'Допущения'!$J$15*'Допущения'!$I$15,0)</f>
        <v/>
      </c>
      <c r="AB7" s="15">
        <f>SUM(D7:AA7)</f>
        <v/>
      </c>
    </row>
    <row r="8">
      <c r="A8" t="inlineStr">
        <is>
          <t>C01</t>
        </is>
      </c>
      <c r="B8" t="inlineStr">
        <is>
          <t>Hotel Agent OS (платформа агентов)</t>
        </is>
      </c>
      <c r="C8" t="inlineStr">
        <is>
          <t>ACTU</t>
        </is>
      </c>
      <c r="D8" s="15">
        <f>D7</f>
        <v/>
      </c>
      <c r="E8" s="15">
        <f>D8*(1-'Допущения'!$C$6)+E7</f>
        <v/>
      </c>
      <c r="F8" s="15">
        <f>E8*(1-'Допущения'!$C$6)+F7</f>
        <v/>
      </c>
      <c r="G8" s="15">
        <f>F8*(1-'Допущения'!$C$6)+G7</f>
        <v/>
      </c>
      <c r="H8" s="15">
        <f>G8*(1-'Допущения'!$C$6)+H7</f>
        <v/>
      </c>
      <c r="I8" s="15">
        <f>H8*(1-'Допущения'!$C$6)+I7</f>
        <v/>
      </c>
      <c r="J8" s="15">
        <f>I8*(1-'Допущения'!$C$6)+J7</f>
        <v/>
      </c>
      <c r="K8" s="15">
        <f>J8*(1-'Допущения'!$C$6)+K7</f>
        <v/>
      </c>
      <c r="L8" s="15">
        <f>K8*(1-'Допущения'!$C$6)+L7</f>
        <v/>
      </c>
      <c r="M8" s="15">
        <f>L8*(1-'Допущения'!$C$6)+M7</f>
        <v/>
      </c>
      <c r="N8" s="15">
        <f>M8*(1-'Допущения'!$C$6)+N7</f>
        <v/>
      </c>
      <c r="O8" s="15">
        <f>N8*(1-'Допущения'!$C$6)+O7</f>
        <v/>
      </c>
      <c r="P8" s="15">
        <f>O8*(1-'Допущения'!$C$6)+P7</f>
        <v/>
      </c>
      <c r="Q8" s="15">
        <f>P8*(1-'Допущения'!$C$6)+Q7</f>
        <v/>
      </c>
      <c r="R8" s="15">
        <f>Q8*(1-'Допущения'!$C$6)+R7</f>
        <v/>
      </c>
      <c r="S8" s="15">
        <f>R8*(1-'Допущения'!$C$6)+S7</f>
        <v/>
      </c>
      <c r="T8" s="15">
        <f>S8*(1-'Допущения'!$C$6)+T7</f>
        <v/>
      </c>
      <c r="U8" s="15">
        <f>T8*(1-'Допущения'!$C$6)+U7</f>
        <v/>
      </c>
      <c r="V8" s="15">
        <f>U8*(1-'Допущения'!$C$6)+V7</f>
        <v/>
      </c>
      <c r="W8" s="15">
        <f>V8*(1-'Допущения'!$C$6)+W7</f>
        <v/>
      </c>
      <c r="X8" s="15">
        <f>W8*(1-'Допущения'!$C$6)+X7</f>
        <v/>
      </c>
      <c r="Y8" s="15">
        <f>X8*(1-'Допущения'!$C$6)+Y7</f>
        <v/>
      </c>
      <c r="Z8" s="15">
        <f>Y8*(1-'Допущения'!$C$6)+Z7</f>
        <v/>
      </c>
      <c r="AA8" s="15">
        <f>Z8*(1-'Допущения'!$C$6)+AA7</f>
        <v/>
      </c>
      <c r="AB8" s="15">
        <f>SUM(D8:AA8)</f>
        <v/>
      </c>
    </row>
    <row r="9">
      <c r="A9" t="inlineStr">
        <is>
          <t>C01</t>
        </is>
      </c>
      <c r="B9" t="inlineStr">
        <is>
          <t>Hotel Agent OS (платформа агентов)</t>
        </is>
      </c>
      <c r="C9" t="inlineStr">
        <is>
          <t>HWREV</t>
        </is>
      </c>
      <c r="D9" s="15">
        <f>D7*'Допущения'!$E$15</f>
        <v/>
      </c>
      <c r="E9" s="15">
        <f>E7*'Допущения'!$E$15</f>
        <v/>
      </c>
      <c r="F9" s="15">
        <f>F7*'Допущения'!$E$15</f>
        <v/>
      </c>
      <c r="G9" s="15">
        <f>G7*'Допущения'!$E$15</f>
        <v/>
      </c>
      <c r="H9" s="15">
        <f>H7*'Допущения'!$E$15</f>
        <v/>
      </c>
      <c r="I9" s="15">
        <f>I7*'Допущения'!$E$15</f>
        <v/>
      </c>
      <c r="J9" s="15">
        <f>J7*'Допущения'!$E$15</f>
        <v/>
      </c>
      <c r="K9" s="15">
        <f>K7*'Допущения'!$E$15</f>
        <v/>
      </c>
      <c r="L9" s="15">
        <f>L7*'Допущения'!$E$15</f>
        <v/>
      </c>
      <c r="M9" s="15">
        <f>M7*'Допущения'!$E$15</f>
        <v/>
      </c>
      <c r="N9" s="15">
        <f>N7*'Допущения'!$E$15</f>
        <v/>
      </c>
      <c r="O9" s="15">
        <f>O7*'Допущения'!$E$15</f>
        <v/>
      </c>
      <c r="P9" s="15">
        <f>P7*'Допущения'!$E$15</f>
        <v/>
      </c>
      <c r="Q9" s="15">
        <f>Q7*'Допущения'!$E$15</f>
        <v/>
      </c>
      <c r="R9" s="15">
        <f>R7*'Допущения'!$E$15</f>
        <v/>
      </c>
      <c r="S9" s="15">
        <f>S7*'Допущения'!$E$15</f>
        <v/>
      </c>
      <c r="T9" s="15">
        <f>T7*'Допущения'!$E$15</f>
        <v/>
      </c>
      <c r="U9" s="15">
        <f>U7*'Допущения'!$E$15</f>
        <v/>
      </c>
      <c r="V9" s="15">
        <f>V7*'Допущения'!$E$15</f>
        <v/>
      </c>
      <c r="W9" s="15">
        <f>W7*'Допущения'!$E$15</f>
        <v/>
      </c>
      <c r="X9" s="15">
        <f>X7*'Допущения'!$E$15</f>
        <v/>
      </c>
      <c r="Y9" s="15">
        <f>Y7*'Допущения'!$E$15</f>
        <v/>
      </c>
      <c r="Z9" s="15">
        <f>Z7*'Допущения'!$E$15</f>
        <v/>
      </c>
      <c r="AA9" s="15">
        <f>AA7*'Допущения'!$E$15</f>
        <v/>
      </c>
      <c r="AB9" s="15">
        <f>SUM(D9:AA9)</f>
        <v/>
      </c>
    </row>
    <row r="10">
      <c r="A10" t="inlineStr">
        <is>
          <t>C01</t>
        </is>
      </c>
      <c r="B10" t="inlineStr">
        <is>
          <t>Hotel Agent OS (платформа агентов)</t>
        </is>
      </c>
      <c r="C10" t="inlineStr">
        <is>
          <t>RECREV</t>
        </is>
      </c>
      <c r="D10" s="15">
        <f>D8*'Допущения'!$F$15</f>
        <v/>
      </c>
      <c r="E10" s="15">
        <f>E8*'Допущения'!$F$15</f>
        <v/>
      </c>
      <c r="F10" s="15">
        <f>F8*'Допущения'!$F$15</f>
        <v/>
      </c>
      <c r="G10" s="15">
        <f>G8*'Допущения'!$F$15</f>
        <v/>
      </c>
      <c r="H10" s="15">
        <f>H8*'Допущения'!$F$15</f>
        <v/>
      </c>
      <c r="I10" s="15">
        <f>I8*'Допущения'!$F$15</f>
        <v/>
      </c>
      <c r="J10" s="15">
        <f>J8*'Допущения'!$F$15</f>
        <v/>
      </c>
      <c r="K10" s="15">
        <f>K8*'Допущения'!$F$15</f>
        <v/>
      </c>
      <c r="L10" s="15">
        <f>L8*'Допущения'!$F$15</f>
        <v/>
      </c>
      <c r="M10" s="15">
        <f>M8*'Допущения'!$F$15</f>
        <v/>
      </c>
      <c r="N10" s="15">
        <f>N8*'Допущения'!$F$15</f>
        <v/>
      </c>
      <c r="O10" s="15">
        <f>O8*'Допущения'!$F$15</f>
        <v/>
      </c>
      <c r="P10" s="15">
        <f>P8*'Допущения'!$F$15</f>
        <v/>
      </c>
      <c r="Q10" s="15">
        <f>Q8*'Допущения'!$F$15</f>
        <v/>
      </c>
      <c r="R10" s="15">
        <f>R8*'Допущения'!$F$15</f>
        <v/>
      </c>
      <c r="S10" s="15">
        <f>S8*'Допущения'!$F$15</f>
        <v/>
      </c>
      <c r="T10" s="15">
        <f>T8*'Допущения'!$F$15</f>
        <v/>
      </c>
      <c r="U10" s="15">
        <f>U8*'Допущения'!$F$15</f>
        <v/>
      </c>
      <c r="V10" s="15">
        <f>V8*'Допущения'!$F$15</f>
        <v/>
      </c>
      <c r="W10" s="15">
        <f>W8*'Допущения'!$F$15</f>
        <v/>
      </c>
      <c r="X10" s="15">
        <f>X8*'Допущения'!$F$15</f>
        <v/>
      </c>
      <c r="Y10" s="15">
        <f>Y8*'Допущения'!$F$15</f>
        <v/>
      </c>
      <c r="Z10" s="15">
        <f>Z8*'Допущения'!$F$15</f>
        <v/>
      </c>
      <c r="AA10" s="15">
        <f>AA8*'Допущения'!$F$15</f>
        <v/>
      </c>
      <c r="AB10" s="15">
        <f>SUM(D10:AA10)</f>
        <v/>
      </c>
    </row>
    <row r="11">
      <c r="A11" t="inlineStr">
        <is>
          <t>C01</t>
        </is>
      </c>
      <c r="B11" t="inlineStr">
        <is>
          <t>Hotel Agent OS (платформа агентов)</t>
        </is>
      </c>
      <c r="C11" t="inlineStr">
        <is>
          <t>TXNREV</t>
        </is>
      </c>
      <c r="D11" s="15">
        <f>D8*'Допущения'!$G$15</f>
        <v/>
      </c>
      <c r="E11" s="15">
        <f>E8*'Допущения'!$G$15</f>
        <v/>
      </c>
      <c r="F11" s="15">
        <f>F8*'Допущения'!$G$15</f>
        <v/>
      </c>
      <c r="G11" s="15">
        <f>G8*'Допущения'!$G$15</f>
        <v/>
      </c>
      <c r="H11" s="15">
        <f>H8*'Допущения'!$G$15</f>
        <v/>
      </c>
      <c r="I11" s="15">
        <f>I8*'Допущения'!$G$15</f>
        <v/>
      </c>
      <c r="J11" s="15">
        <f>J8*'Допущения'!$G$15</f>
        <v/>
      </c>
      <c r="K11" s="15">
        <f>K8*'Допущения'!$G$15</f>
        <v/>
      </c>
      <c r="L11" s="15">
        <f>L8*'Допущения'!$G$15</f>
        <v/>
      </c>
      <c r="M11" s="15">
        <f>M8*'Допущения'!$G$15</f>
        <v/>
      </c>
      <c r="N11" s="15">
        <f>N8*'Допущения'!$G$15</f>
        <v/>
      </c>
      <c r="O11" s="15">
        <f>O8*'Допущения'!$G$15</f>
        <v/>
      </c>
      <c r="P11" s="15">
        <f>P8*'Допущения'!$G$15</f>
        <v/>
      </c>
      <c r="Q11" s="15">
        <f>Q8*'Допущения'!$G$15</f>
        <v/>
      </c>
      <c r="R11" s="15">
        <f>R8*'Допущения'!$G$15</f>
        <v/>
      </c>
      <c r="S11" s="15">
        <f>S8*'Допущения'!$G$15</f>
        <v/>
      </c>
      <c r="T11" s="15">
        <f>T8*'Допущения'!$G$15</f>
        <v/>
      </c>
      <c r="U11" s="15">
        <f>U8*'Допущения'!$G$15</f>
        <v/>
      </c>
      <c r="V11" s="15">
        <f>V8*'Допущения'!$G$15</f>
        <v/>
      </c>
      <c r="W11" s="15">
        <f>W8*'Допущения'!$G$15</f>
        <v/>
      </c>
      <c r="X11" s="15">
        <f>X8*'Допущения'!$G$15</f>
        <v/>
      </c>
      <c r="Y11" s="15">
        <f>Y8*'Допущения'!$G$15</f>
        <v/>
      </c>
      <c r="Z11" s="15">
        <f>Z8*'Допущения'!$G$15</f>
        <v/>
      </c>
      <c r="AA11" s="15">
        <f>AA8*'Допущения'!$G$15</f>
        <v/>
      </c>
      <c r="AB11" s="15">
        <f>SUM(D11:AA11)</f>
        <v/>
      </c>
    </row>
    <row r="12">
      <c r="A12" t="inlineStr">
        <is>
          <t>C01</t>
        </is>
      </c>
      <c r="B12" t="inlineStr">
        <is>
          <t>Hotel Agent OS (платформа агентов)</t>
        </is>
      </c>
      <c r="C12" t="inlineStr">
        <is>
          <t>COGS</t>
        </is>
      </c>
      <c r="D12" s="15">
        <f>D7*('Допущения'!$C$15+'Допущения'!$D$15)</f>
        <v/>
      </c>
      <c r="E12" s="15">
        <f>E7*('Допущения'!$C$15+'Допущения'!$D$15)</f>
        <v/>
      </c>
      <c r="F12" s="15">
        <f>F7*('Допущения'!$C$15+'Допущения'!$D$15)</f>
        <v/>
      </c>
      <c r="G12" s="15">
        <f>G7*('Допущения'!$C$15+'Допущения'!$D$15)</f>
        <v/>
      </c>
      <c r="H12" s="15">
        <f>H7*('Допущения'!$C$15+'Допущения'!$D$15)</f>
        <v/>
      </c>
      <c r="I12" s="15">
        <f>I7*('Допущения'!$C$15+'Допущения'!$D$15)</f>
        <v/>
      </c>
      <c r="J12" s="15">
        <f>J7*('Допущения'!$C$15+'Допущения'!$D$15)</f>
        <v/>
      </c>
      <c r="K12" s="15">
        <f>K7*('Допущения'!$C$15+'Допущения'!$D$15)</f>
        <v/>
      </c>
      <c r="L12" s="15">
        <f>L7*('Допущения'!$C$15+'Допущения'!$D$15)</f>
        <v/>
      </c>
      <c r="M12" s="15">
        <f>M7*('Допущения'!$C$15+'Допущения'!$D$15)</f>
        <v/>
      </c>
      <c r="N12" s="15">
        <f>N7*('Допущения'!$C$15+'Допущения'!$D$15)</f>
        <v/>
      </c>
      <c r="O12" s="15">
        <f>O7*('Допущения'!$C$15+'Допущения'!$D$15)</f>
        <v/>
      </c>
      <c r="P12" s="15">
        <f>P7*('Допущения'!$C$15+'Допущения'!$D$15)</f>
        <v/>
      </c>
      <c r="Q12" s="15">
        <f>Q7*('Допущения'!$C$15+'Допущения'!$D$15)</f>
        <v/>
      </c>
      <c r="R12" s="15">
        <f>R7*('Допущения'!$C$15+'Допущения'!$D$15)</f>
        <v/>
      </c>
      <c r="S12" s="15">
        <f>S7*('Допущения'!$C$15+'Допущения'!$D$15)</f>
        <v/>
      </c>
      <c r="T12" s="15">
        <f>T7*('Допущения'!$C$15+'Допущения'!$D$15)</f>
        <v/>
      </c>
      <c r="U12" s="15">
        <f>U7*('Допущения'!$C$15+'Допущения'!$D$15)</f>
        <v/>
      </c>
      <c r="V12" s="15">
        <f>V7*('Допущения'!$C$15+'Допущения'!$D$15)</f>
        <v/>
      </c>
      <c r="W12" s="15">
        <f>W7*('Допущения'!$C$15+'Допущения'!$D$15)</f>
        <v/>
      </c>
      <c r="X12" s="15">
        <f>X7*('Допущения'!$C$15+'Допущения'!$D$15)</f>
        <v/>
      </c>
      <c r="Y12" s="15">
        <f>Y7*('Допущения'!$C$15+'Допущения'!$D$15)</f>
        <v/>
      </c>
      <c r="Z12" s="15">
        <f>Z7*('Допущения'!$C$15+'Допущения'!$D$15)</f>
        <v/>
      </c>
      <c r="AA12" s="15">
        <f>AA7*('Допущения'!$C$15+'Допущения'!$D$15)</f>
        <v/>
      </c>
      <c r="AB12" s="15">
        <f>SUM(D12:AA12)</f>
        <v/>
      </c>
    </row>
    <row r="13">
      <c r="A13" t="inlineStr">
        <is>
          <t>C01</t>
        </is>
      </c>
      <c r="B13" t="inlineStr">
        <is>
          <t>Hotel Agent OS (платформа агентов)</t>
        </is>
      </c>
      <c r="C13" t="inlineStr">
        <is>
          <t>VARC</t>
        </is>
      </c>
      <c r="D13" s="15">
        <f>D8*'Допущения'!$H$15</f>
        <v/>
      </c>
      <c r="E13" s="15">
        <f>E8*'Допущения'!$H$15</f>
        <v/>
      </c>
      <c r="F13" s="15">
        <f>F8*'Допущения'!$H$15</f>
        <v/>
      </c>
      <c r="G13" s="15">
        <f>G8*'Допущения'!$H$15</f>
        <v/>
      </c>
      <c r="H13" s="15">
        <f>H8*'Допущения'!$H$15</f>
        <v/>
      </c>
      <c r="I13" s="15">
        <f>I8*'Допущения'!$H$15</f>
        <v/>
      </c>
      <c r="J13" s="15">
        <f>J8*'Допущения'!$H$15</f>
        <v/>
      </c>
      <c r="K13" s="15">
        <f>K8*'Допущения'!$H$15</f>
        <v/>
      </c>
      <c r="L13" s="15">
        <f>L8*'Допущения'!$H$15</f>
        <v/>
      </c>
      <c r="M13" s="15">
        <f>M8*'Допущения'!$H$15</f>
        <v/>
      </c>
      <c r="N13" s="15">
        <f>N8*'Допущения'!$H$15</f>
        <v/>
      </c>
      <c r="O13" s="15">
        <f>O8*'Допущения'!$H$15</f>
        <v/>
      </c>
      <c r="P13" s="15">
        <f>P8*'Допущения'!$H$15</f>
        <v/>
      </c>
      <c r="Q13" s="15">
        <f>Q8*'Допущения'!$H$15</f>
        <v/>
      </c>
      <c r="R13" s="15">
        <f>R8*'Допущения'!$H$15</f>
        <v/>
      </c>
      <c r="S13" s="15">
        <f>S8*'Допущения'!$H$15</f>
        <v/>
      </c>
      <c r="T13" s="15">
        <f>T8*'Допущения'!$H$15</f>
        <v/>
      </c>
      <c r="U13" s="15">
        <f>U8*'Допущения'!$H$15</f>
        <v/>
      </c>
      <c r="V13" s="15">
        <f>V8*'Допущения'!$H$15</f>
        <v/>
      </c>
      <c r="W13" s="15">
        <f>W8*'Допущения'!$H$15</f>
        <v/>
      </c>
      <c r="X13" s="15">
        <f>X8*'Допущения'!$H$15</f>
        <v/>
      </c>
      <c r="Y13" s="15">
        <f>Y8*'Допущения'!$H$15</f>
        <v/>
      </c>
      <c r="Z13" s="15">
        <f>Z8*'Допущения'!$H$15</f>
        <v/>
      </c>
      <c r="AA13" s="15">
        <f>AA8*'Допущения'!$H$15</f>
        <v/>
      </c>
      <c r="AB13" s="15">
        <f>SUM(D13:AA13)</f>
        <v/>
      </c>
    </row>
    <row r="14">
      <c r="A14" t="inlineStr">
        <is>
          <t>C02</t>
        </is>
      </c>
      <c r="B14" t="inlineStr">
        <is>
          <t>GuestNode Lobby (ресепшен)</t>
        </is>
      </c>
      <c r="C14" t="inlineStr">
        <is>
          <t>NEWU</t>
        </is>
      </c>
      <c r="D14" s="15">
        <f>IF(D$3&gt;='Допущения'!$K$16,D$4*'Допущения'!$J$16*'Допущения'!$I$16,0)</f>
        <v/>
      </c>
      <c r="E14" s="15">
        <f>IF(E$3&gt;='Допущения'!$K$16,E$4*'Допущения'!$J$16*'Допущения'!$I$16,0)</f>
        <v/>
      </c>
      <c r="F14" s="15">
        <f>IF(F$3&gt;='Допущения'!$K$16,F$4*'Допущения'!$J$16*'Допущения'!$I$16,0)</f>
        <v/>
      </c>
      <c r="G14" s="15">
        <f>IF(G$3&gt;='Допущения'!$K$16,G$4*'Допущения'!$J$16*'Допущения'!$I$16,0)</f>
        <v/>
      </c>
      <c r="H14" s="15">
        <f>IF(H$3&gt;='Допущения'!$K$16,H$4*'Допущения'!$J$16*'Допущения'!$I$16,0)</f>
        <v/>
      </c>
      <c r="I14" s="15">
        <f>IF(I$3&gt;='Допущения'!$K$16,I$4*'Допущения'!$J$16*'Допущения'!$I$16,0)</f>
        <v/>
      </c>
      <c r="J14" s="15">
        <f>IF(J$3&gt;='Допущения'!$K$16,J$4*'Допущения'!$J$16*'Допущения'!$I$16,0)</f>
        <v/>
      </c>
      <c r="K14" s="15">
        <f>IF(K$3&gt;='Допущения'!$K$16,K$4*'Допущения'!$J$16*'Допущения'!$I$16,0)</f>
        <v/>
      </c>
      <c r="L14" s="15">
        <f>IF(L$3&gt;='Допущения'!$K$16,L$4*'Допущения'!$J$16*'Допущения'!$I$16,0)</f>
        <v/>
      </c>
      <c r="M14" s="15">
        <f>IF(M$3&gt;='Допущения'!$K$16,M$4*'Допущения'!$J$16*'Допущения'!$I$16,0)</f>
        <v/>
      </c>
      <c r="N14" s="15">
        <f>IF(N$3&gt;='Допущения'!$K$16,N$4*'Допущения'!$J$16*'Допущения'!$I$16,0)</f>
        <v/>
      </c>
      <c r="O14" s="15">
        <f>IF(O$3&gt;='Допущения'!$K$16,O$4*'Допущения'!$J$16*'Допущения'!$I$16,0)</f>
        <v/>
      </c>
      <c r="P14" s="15">
        <f>IF(P$3&gt;='Допущения'!$K$16,P$4*'Допущения'!$J$16*'Допущения'!$I$16,0)</f>
        <v/>
      </c>
      <c r="Q14" s="15">
        <f>IF(Q$3&gt;='Допущения'!$K$16,Q$4*'Допущения'!$J$16*'Допущения'!$I$16,0)</f>
        <v/>
      </c>
      <c r="R14" s="15">
        <f>IF(R$3&gt;='Допущения'!$K$16,R$4*'Допущения'!$J$16*'Допущения'!$I$16,0)</f>
        <v/>
      </c>
      <c r="S14" s="15">
        <f>IF(S$3&gt;='Допущения'!$K$16,S$4*'Допущения'!$J$16*'Допущения'!$I$16,0)</f>
        <v/>
      </c>
      <c r="T14" s="15">
        <f>IF(T$3&gt;='Допущения'!$K$16,T$4*'Допущения'!$J$16*'Допущения'!$I$16,0)</f>
        <v/>
      </c>
      <c r="U14" s="15">
        <f>IF(U$3&gt;='Допущения'!$K$16,U$4*'Допущения'!$J$16*'Допущения'!$I$16,0)</f>
        <v/>
      </c>
      <c r="V14" s="15">
        <f>IF(V$3&gt;='Допущения'!$K$16,V$4*'Допущения'!$J$16*'Допущения'!$I$16,0)</f>
        <v/>
      </c>
      <c r="W14" s="15">
        <f>IF(W$3&gt;='Допущения'!$K$16,W$4*'Допущения'!$J$16*'Допущения'!$I$16,0)</f>
        <v/>
      </c>
      <c r="X14" s="15">
        <f>IF(X$3&gt;='Допущения'!$K$16,X$4*'Допущения'!$J$16*'Допущения'!$I$16,0)</f>
        <v/>
      </c>
      <c r="Y14" s="15">
        <f>IF(Y$3&gt;='Допущения'!$K$16,Y$4*'Допущения'!$J$16*'Допущения'!$I$16,0)</f>
        <v/>
      </c>
      <c r="Z14" s="15">
        <f>IF(Z$3&gt;='Допущения'!$K$16,Z$4*'Допущения'!$J$16*'Допущения'!$I$16,0)</f>
        <v/>
      </c>
      <c r="AA14" s="15">
        <f>IF(AA$3&gt;='Допущения'!$K$16,AA$4*'Допущения'!$J$16*'Допущения'!$I$16,0)</f>
        <v/>
      </c>
      <c r="AB14" s="15">
        <f>SUM(D14:AA14)</f>
        <v/>
      </c>
    </row>
    <row r="15">
      <c r="A15" t="inlineStr">
        <is>
          <t>C02</t>
        </is>
      </c>
      <c r="B15" t="inlineStr">
        <is>
          <t>GuestNode Lobby (ресепшен)</t>
        </is>
      </c>
      <c r="C15" t="inlineStr">
        <is>
          <t>ACTU</t>
        </is>
      </c>
      <c r="D15" s="15">
        <f>D14</f>
        <v/>
      </c>
      <c r="E15" s="15">
        <f>D15*(1-'Допущения'!$C$6)+E14</f>
        <v/>
      </c>
      <c r="F15" s="15">
        <f>E15*(1-'Допущения'!$C$6)+F14</f>
        <v/>
      </c>
      <c r="G15" s="15">
        <f>F15*(1-'Допущения'!$C$6)+G14</f>
        <v/>
      </c>
      <c r="H15" s="15">
        <f>G15*(1-'Допущения'!$C$6)+H14</f>
        <v/>
      </c>
      <c r="I15" s="15">
        <f>H15*(1-'Допущения'!$C$6)+I14</f>
        <v/>
      </c>
      <c r="J15" s="15">
        <f>I15*(1-'Допущения'!$C$6)+J14</f>
        <v/>
      </c>
      <c r="K15" s="15">
        <f>J15*(1-'Допущения'!$C$6)+K14</f>
        <v/>
      </c>
      <c r="L15" s="15">
        <f>K15*(1-'Допущения'!$C$6)+L14</f>
        <v/>
      </c>
      <c r="M15" s="15">
        <f>L15*(1-'Допущения'!$C$6)+M14</f>
        <v/>
      </c>
      <c r="N15" s="15">
        <f>M15*(1-'Допущения'!$C$6)+N14</f>
        <v/>
      </c>
      <c r="O15" s="15">
        <f>N15*(1-'Допущения'!$C$6)+O14</f>
        <v/>
      </c>
      <c r="P15" s="15">
        <f>O15*(1-'Допущения'!$C$6)+P14</f>
        <v/>
      </c>
      <c r="Q15" s="15">
        <f>P15*(1-'Допущения'!$C$6)+Q14</f>
        <v/>
      </c>
      <c r="R15" s="15">
        <f>Q15*(1-'Допущения'!$C$6)+R14</f>
        <v/>
      </c>
      <c r="S15" s="15">
        <f>R15*(1-'Допущения'!$C$6)+S14</f>
        <v/>
      </c>
      <c r="T15" s="15">
        <f>S15*(1-'Допущения'!$C$6)+T14</f>
        <v/>
      </c>
      <c r="U15" s="15">
        <f>T15*(1-'Допущения'!$C$6)+U14</f>
        <v/>
      </c>
      <c r="V15" s="15">
        <f>U15*(1-'Допущения'!$C$6)+V14</f>
        <v/>
      </c>
      <c r="W15" s="15">
        <f>V15*(1-'Допущения'!$C$6)+W14</f>
        <v/>
      </c>
      <c r="X15" s="15">
        <f>W15*(1-'Допущения'!$C$6)+X14</f>
        <v/>
      </c>
      <c r="Y15" s="15">
        <f>X15*(1-'Допущения'!$C$6)+Y14</f>
        <v/>
      </c>
      <c r="Z15" s="15">
        <f>Y15*(1-'Допущения'!$C$6)+Z14</f>
        <v/>
      </c>
      <c r="AA15" s="15">
        <f>Z15*(1-'Допущения'!$C$6)+AA14</f>
        <v/>
      </c>
      <c r="AB15" s="15">
        <f>SUM(D15:AA15)</f>
        <v/>
      </c>
    </row>
    <row r="16">
      <c r="A16" t="inlineStr">
        <is>
          <t>C02</t>
        </is>
      </c>
      <c r="B16" t="inlineStr">
        <is>
          <t>GuestNode Lobby (ресепшен)</t>
        </is>
      </c>
      <c r="C16" t="inlineStr">
        <is>
          <t>HWREV</t>
        </is>
      </c>
      <c r="D16" s="15">
        <f>D14*'Допущения'!$E$16</f>
        <v/>
      </c>
      <c r="E16" s="15">
        <f>E14*'Допущения'!$E$16</f>
        <v/>
      </c>
      <c r="F16" s="15">
        <f>F14*'Допущения'!$E$16</f>
        <v/>
      </c>
      <c r="G16" s="15">
        <f>G14*'Допущения'!$E$16</f>
        <v/>
      </c>
      <c r="H16" s="15">
        <f>H14*'Допущения'!$E$16</f>
        <v/>
      </c>
      <c r="I16" s="15">
        <f>I14*'Допущения'!$E$16</f>
        <v/>
      </c>
      <c r="J16" s="15">
        <f>J14*'Допущения'!$E$16</f>
        <v/>
      </c>
      <c r="K16" s="15">
        <f>K14*'Допущения'!$E$16</f>
        <v/>
      </c>
      <c r="L16" s="15">
        <f>L14*'Допущения'!$E$16</f>
        <v/>
      </c>
      <c r="M16" s="15">
        <f>M14*'Допущения'!$E$16</f>
        <v/>
      </c>
      <c r="N16" s="15">
        <f>N14*'Допущения'!$E$16</f>
        <v/>
      </c>
      <c r="O16" s="15">
        <f>O14*'Допущения'!$E$16</f>
        <v/>
      </c>
      <c r="P16" s="15">
        <f>P14*'Допущения'!$E$16</f>
        <v/>
      </c>
      <c r="Q16" s="15">
        <f>Q14*'Допущения'!$E$16</f>
        <v/>
      </c>
      <c r="R16" s="15">
        <f>R14*'Допущения'!$E$16</f>
        <v/>
      </c>
      <c r="S16" s="15">
        <f>S14*'Допущения'!$E$16</f>
        <v/>
      </c>
      <c r="T16" s="15">
        <f>T14*'Допущения'!$E$16</f>
        <v/>
      </c>
      <c r="U16" s="15">
        <f>U14*'Допущения'!$E$16</f>
        <v/>
      </c>
      <c r="V16" s="15">
        <f>V14*'Допущения'!$E$16</f>
        <v/>
      </c>
      <c r="W16" s="15">
        <f>W14*'Допущения'!$E$16</f>
        <v/>
      </c>
      <c r="X16" s="15">
        <f>X14*'Допущения'!$E$16</f>
        <v/>
      </c>
      <c r="Y16" s="15">
        <f>Y14*'Допущения'!$E$16</f>
        <v/>
      </c>
      <c r="Z16" s="15">
        <f>Z14*'Допущения'!$E$16</f>
        <v/>
      </c>
      <c r="AA16" s="15">
        <f>AA14*'Допущения'!$E$16</f>
        <v/>
      </c>
      <c r="AB16" s="15">
        <f>SUM(D16:AA16)</f>
        <v/>
      </c>
    </row>
    <row r="17">
      <c r="A17" t="inlineStr">
        <is>
          <t>C02</t>
        </is>
      </c>
      <c r="B17" t="inlineStr">
        <is>
          <t>GuestNode Lobby (ресепшен)</t>
        </is>
      </c>
      <c r="C17" t="inlineStr">
        <is>
          <t>RECREV</t>
        </is>
      </c>
      <c r="D17" s="15">
        <f>D15*'Допущения'!$F$16</f>
        <v/>
      </c>
      <c r="E17" s="15">
        <f>E15*'Допущения'!$F$16</f>
        <v/>
      </c>
      <c r="F17" s="15">
        <f>F15*'Допущения'!$F$16</f>
        <v/>
      </c>
      <c r="G17" s="15">
        <f>G15*'Допущения'!$F$16</f>
        <v/>
      </c>
      <c r="H17" s="15">
        <f>H15*'Допущения'!$F$16</f>
        <v/>
      </c>
      <c r="I17" s="15">
        <f>I15*'Допущения'!$F$16</f>
        <v/>
      </c>
      <c r="J17" s="15">
        <f>J15*'Допущения'!$F$16</f>
        <v/>
      </c>
      <c r="K17" s="15">
        <f>K15*'Допущения'!$F$16</f>
        <v/>
      </c>
      <c r="L17" s="15">
        <f>L15*'Допущения'!$F$16</f>
        <v/>
      </c>
      <c r="M17" s="15">
        <f>M15*'Допущения'!$F$16</f>
        <v/>
      </c>
      <c r="N17" s="15">
        <f>N15*'Допущения'!$F$16</f>
        <v/>
      </c>
      <c r="O17" s="15">
        <f>O15*'Допущения'!$F$16</f>
        <v/>
      </c>
      <c r="P17" s="15">
        <f>P15*'Допущения'!$F$16</f>
        <v/>
      </c>
      <c r="Q17" s="15">
        <f>Q15*'Допущения'!$F$16</f>
        <v/>
      </c>
      <c r="R17" s="15">
        <f>R15*'Допущения'!$F$16</f>
        <v/>
      </c>
      <c r="S17" s="15">
        <f>S15*'Допущения'!$F$16</f>
        <v/>
      </c>
      <c r="T17" s="15">
        <f>T15*'Допущения'!$F$16</f>
        <v/>
      </c>
      <c r="U17" s="15">
        <f>U15*'Допущения'!$F$16</f>
        <v/>
      </c>
      <c r="V17" s="15">
        <f>V15*'Допущения'!$F$16</f>
        <v/>
      </c>
      <c r="W17" s="15">
        <f>W15*'Допущения'!$F$16</f>
        <v/>
      </c>
      <c r="X17" s="15">
        <f>X15*'Допущения'!$F$16</f>
        <v/>
      </c>
      <c r="Y17" s="15">
        <f>Y15*'Допущения'!$F$16</f>
        <v/>
      </c>
      <c r="Z17" s="15">
        <f>Z15*'Допущения'!$F$16</f>
        <v/>
      </c>
      <c r="AA17" s="15">
        <f>AA15*'Допущения'!$F$16</f>
        <v/>
      </c>
      <c r="AB17" s="15">
        <f>SUM(D17:AA17)</f>
        <v/>
      </c>
    </row>
    <row r="18">
      <c r="A18" t="inlineStr">
        <is>
          <t>C02</t>
        </is>
      </c>
      <c r="B18" t="inlineStr">
        <is>
          <t>GuestNode Lobby (ресепшен)</t>
        </is>
      </c>
      <c r="C18" t="inlineStr">
        <is>
          <t>TXNREV</t>
        </is>
      </c>
      <c r="D18" s="15">
        <f>D15*'Допущения'!$G$16</f>
        <v/>
      </c>
      <c r="E18" s="15">
        <f>E15*'Допущения'!$G$16</f>
        <v/>
      </c>
      <c r="F18" s="15">
        <f>F15*'Допущения'!$G$16</f>
        <v/>
      </c>
      <c r="G18" s="15">
        <f>G15*'Допущения'!$G$16</f>
        <v/>
      </c>
      <c r="H18" s="15">
        <f>H15*'Допущения'!$G$16</f>
        <v/>
      </c>
      <c r="I18" s="15">
        <f>I15*'Допущения'!$G$16</f>
        <v/>
      </c>
      <c r="J18" s="15">
        <f>J15*'Допущения'!$G$16</f>
        <v/>
      </c>
      <c r="K18" s="15">
        <f>K15*'Допущения'!$G$16</f>
        <v/>
      </c>
      <c r="L18" s="15">
        <f>L15*'Допущения'!$G$16</f>
        <v/>
      </c>
      <c r="M18" s="15">
        <f>M15*'Допущения'!$G$16</f>
        <v/>
      </c>
      <c r="N18" s="15">
        <f>N15*'Допущения'!$G$16</f>
        <v/>
      </c>
      <c r="O18" s="15">
        <f>O15*'Допущения'!$G$16</f>
        <v/>
      </c>
      <c r="P18" s="15">
        <f>P15*'Допущения'!$G$16</f>
        <v/>
      </c>
      <c r="Q18" s="15">
        <f>Q15*'Допущения'!$G$16</f>
        <v/>
      </c>
      <c r="R18" s="15">
        <f>R15*'Допущения'!$G$16</f>
        <v/>
      </c>
      <c r="S18" s="15">
        <f>S15*'Допущения'!$G$16</f>
        <v/>
      </c>
      <c r="T18" s="15">
        <f>T15*'Допущения'!$G$16</f>
        <v/>
      </c>
      <c r="U18" s="15">
        <f>U15*'Допущения'!$G$16</f>
        <v/>
      </c>
      <c r="V18" s="15">
        <f>V15*'Допущения'!$G$16</f>
        <v/>
      </c>
      <c r="W18" s="15">
        <f>W15*'Допущения'!$G$16</f>
        <v/>
      </c>
      <c r="X18" s="15">
        <f>X15*'Допущения'!$G$16</f>
        <v/>
      </c>
      <c r="Y18" s="15">
        <f>Y15*'Допущения'!$G$16</f>
        <v/>
      </c>
      <c r="Z18" s="15">
        <f>Z15*'Допущения'!$G$16</f>
        <v/>
      </c>
      <c r="AA18" s="15">
        <f>AA15*'Допущения'!$G$16</f>
        <v/>
      </c>
      <c r="AB18" s="15">
        <f>SUM(D18:AA18)</f>
        <v/>
      </c>
    </row>
    <row r="19">
      <c r="A19" t="inlineStr">
        <is>
          <t>C02</t>
        </is>
      </c>
      <c r="B19" t="inlineStr">
        <is>
          <t>GuestNode Lobby (ресепшен)</t>
        </is>
      </c>
      <c r="C19" t="inlineStr">
        <is>
          <t>COGS</t>
        </is>
      </c>
      <c r="D19" s="15">
        <f>D14*('Допущения'!$C$16+'Допущения'!$D$16)</f>
        <v/>
      </c>
      <c r="E19" s="15">
        <f>E14*('Допущения'!$C$16+'Допущения'!$D$16)</f>
        <v/>
      </c>
      <c r="F19" s="15">
        <f>F14*('Допущения'!$C$16+'Допущения'!$D$16)</f>
        <v/>
      </c>
      <c r="G19" s="15">
        <f>G14*('Допущения'!$C$16+'Допущения'!$D$16)</f>
        <v/>
      </c>
      <c r="H19" s="15">
        <f>H14*('Допущения'!$C$16+'Допущения'!$D$16)</f>
        <v/>
      </c>
      <c r="I19" s="15">
        <f>I14*('Допущения'!$C$16+'Допущения'!$D$16)</f>
        <v/>
      </c>
      <c r="J19" s="15">
        <f>J14*('Допущения'!$C$16+'Допущения'!$D$16)</f>
        <v/>
      </c>
      <c r="K19" s="15">
        <f>K14*('Допущения'!$C$16+'Допущения'!$D$16)</f>
        <v/>
      </c>
      <c r="L19" s="15">
        <f>L14*('Допущения'!$C$16+'Допущения'!$D$16)</f>
        <v/>
      </c>
      <c r="M19" s="15">
        <f>M14*('Допущения'!$C$16+'Допущения'!$D$16)</f>
        <v/>
      </c>
      <c r="N19" s="15">
        <f>N14*('Допущения'!$C$16+'Допущения'!$D$16)</f>
        <v/>
      </c>
      <c r="O19" s="15">
        <f>O14*('Допущения'!$C$16+'Допущения'!$D$16)</f>
        <v/>
      </c>
      <c r="P19" s="15">
        <f>P14*('Допущения'!$C$16+'Допущения'!$D$16)</f>
        <v/>
      </c>
      <c r="Q19" s="15">
        <f>Q14*('Допущения'!$C$16+'Допущения'!$D$16)</f>
        <v/>
      </c>
      <c r="R19" s="15">
        <f>R14*('Допущения'!$C$16+'Допущения'!$D$16)</f>
        <v/>
      </c>
      <c r="S19" s="15">
        <f>S14*('Допущения'!$C$16+'Допущения'!$D$16)</f>
        <v/>
      </c>
      <c r="T19" s="15">
        <f>T14*('Допущения'!$C$16+'Допущения'!$D$16)</f>
        <v/>
      </c>
      <c r="U19" s="15">
        <f>U14*('Допущения'!$C$16+'Допущения'!$D$16)</f>
        <v/>
      </c>
      <c r="V19" s="15">
        <f>V14*('Допущения'!$C$16+'Допущения'!$D$16)</f>
        <v/>
      </c>
      <c r="W19" s="15">
        <f>W14*('Допущения'!$C$16+'Допущения'!$D$16)</f>
        <v/>
      </c>
      <c r="X19" s="15">
        <f>X14*('Допущения'!$C$16+'Допущения'!$D$16)</f>
        <v/>
      </c>
      <c r="Y19" s="15">
        <f>Y14*('Допущения'!$C$16+'Допущения'!$D$16)</f>
        <v/>
      </c>
      <c r="Z19" s="15">
        <f>Z14*('Допущения'!$C$16+'Допущения'!$D$16)</f>
        <v/>
      </c>
      <c r="AA19" s="15">
        <f>AA14*('Допущения'!$C$16+'Допущения'!$D$16)</f>
        <v/>
      </c>
      <c r="AB19" s="15">
        <f>SUM(D19:AA19)</f>
        <v/>
      </c>
    </row>
    <row r="20">
      <c r="A20" t="inlineStr">
        <is>
          <t>C02</t>
        </is>
      </c>
      <c r="B20" t="inlineStr">
        <is>
          <t>GuestNode Lobby (ресепшен)</t>
        </is>
      </c>
      <c r="C20" t="inlineStr">
        <is>
          <t>VARC</t>
        </is>
      </c>
      <c r="D20" s="15">
        <f>D15*'Допущения'!$H$16</f>
        <v/>
      </c>
      <c r="E20" s="15">
        <f>E15*'Допущения'!$H$16</f>
        <v/>
      </c>
      <c r="F20" s="15">
        <f>F15*'Допущения'!$H$16</f>
        <v/>
      </c>
      <c r="G20" s="15">
        <f>G15*'Допущения'!$H$16</f>
        <v/>
      </c>
      <c r="H20" s="15">
        <f>H15*'Допущения'!$H$16</f>
        <v/>
      </c>
      <c r="I20" s="15">
        <f>I15*'Допущения'!$H$16</f>
        <v/>
      </c>
      <c r="J20" s="15">
        <f>J15*'Допущения'!$H$16</f>
        <v/>
      </c>
      <c r="K20" s="15">
        <f>K15*'Допущения'!$H$16</f>
        <v/>
      </c>
      <c r="L20" s="15">
        <f>L15*'Допущения'!$H$16</f>
        <v/>
      </c>
      <c r="M20" s="15">
        <f>M15*'Допущения'!$H$16</f>
        <v/>
      </c>
      <c r="N20" s="15">
        <f>N15*'Допущения'!$H$16</f>
        <v/>
      </c>
      <c r="O20" s="15">
        <f>O15*'Допущения'!$H$16</f>
        <v/>
      </c>
      <c r="P20" s="15">
        <f>P15*'Допущения'!$H$16</f>
        <v/>
      </c>
      <c r="Q20" s="15">
        <f>Q15*'Допущения'!$H$16</f>
        <v/>
      </c>
      <c r="R20" s="15">
        <f>R15*'Допущения'!$H$16</f>
        <v/>
      </c>
      <c r="S20" s="15">
        <f>S15*'Допущения'!$H$16</f>
        <v/>
      </c>
      <c r="T20" s="15">
        <f>T15*'Допущения'!$H$16</f>
        <v/>
      </c>
      <c r="U20" s="15">
        <f>U15*'Допущения'!$H$16</f>
        <v/>
      </c>
      <c r="V20" s="15">
        <f>V15*'Допущения'!$H$16</f>
        <v/>
      </c>
      <c r="W20" s="15">
        <f>W15*'Допущения'!$H$16</f>
        <v/>
      </c>
      <c r="X20" s="15">
        <f>X15*'Допущения'!$H$16</f>
        <v/>
      </c>
      <c r="Y20" s="15">
        <f>Y15*'Допущения'!$H$16</f>
        <v/>
      </c>
      <c r="Z20" s="15">
        <f>Z15*'Допущения'!$H$16</f>
        <v/>
      </c>
      <c r="AA20" s="15">
        <f>AA15*'Допущения'!$H$16</f>
        <v/>
      </c>
      <c r="AB20" s="15">
        <f>SUM(D20:AA20)</f>
        <v/>
      </c>
    </row>
    <row r="21">
      <c r="A21" t="inlineStr">
        <is>
          <t>C03</t>
        </is>
      </c>
      <c r="B21" t="inlineStr">
        <is>
          <t>GuestNode в номере</t>
        </is>
      </c>
      <c r="C21" t="inlineStr">
        <is>
          <t>NEWU</t>
        </is>
      </c>
      <c r="D21" s="15">
        <f>IF(D$3&gt;='Допущения'!$K$17,D$4*'Допущения'!$J$17*'Допущения'!$I$17,0)</f>
        <v/>
      </c>
      <c r="E21" s="15">
        <f>IF(E$3&gt;='Допущения'!$K$17,E$4*'Допущения'!$J$17*'Допущения'!$I$17,0)</f>
        <v/>
      </c>
      <c r="F21" s="15">
        <f>IF(F$3&gt;='Допущения'!$K$17,F$4*'Допущения'!$J$17*'Допущения'!$I$17,0)</f>
        <v/>
      </c>
      <c r="G21" s="15">
        <f>IF(G$3&gt;='Допущения'!$K$17,G$4*'Допущения'!$J$17*'Допущения'!$I$17,0)</f>
        <v/>
      </c>
      <c r="H21" s="15">
        <f>IF(H$3&gt;='Допущения'!$K$17,H$4*'Допущения'!$J$17*'Допущения'!$I$17,0)</f>
        <v/>
      </c>
      <c r="I21" s="15">
        <f>IF(I$3&gt;='Допущения'!$K$17,I$4*'Допущения'!$J$17*'Допущения'!$I$17,0)</f>
        <v/>
      </c>
      <c r="J21" s="15">
        <f>IF(J$3&gt;='Допущения'!$K$17,J$4*'Допущения'!$J$17*'Допущения'!$I$17,0)</f>
        <v/>
      </c>
      <c r="K21" s="15">
        <f>IF(K$3&gt;='Допущения'!$K$17,K$4*'Допущения'!$J$17*'Допущения'!$I$17,0)</f>
        <v/>
      </c>
      <c r="L21" s="15">
        <f>IF(L$3&gt;='Допущения'!$K$17,L$4*'Допущения'!$J$17*'Допущения'!$I$17,0)</f>
        <v/>
      </c>
      <c r="M21" s="15">
        <f>IF(M$3&gt;='Допущения'!$K$17,M$4*'Допущения'!$J$17*'Допущения'!$I$17,0)</f>
        <v/>
      </c>
      <c r="N21" s="15">
        <f>IF(N$3&gt;='Допущения'!$K$17,N$4*'Допущения'!$J$17*'Допущения'!$I$17,0)</f>
        <v/>
      </c>
      <c r="O21" s="15">
        <f>IF(O$3&gt;='Допущения'!$K$17,O$4*'Допущения'!$J$17*'Допущения'!$I$17,0)</f>
        <v/>
      </c>
      <c r="P21" s="15">
        <f>IF(P$3&gt;='Допущения'!$K$17,P$4*'Допущения'!$J$17*'Допущения'!$I$17,0)</f>
        <v/>
      </c>
      <c r="Q21" s="15">
        <f>IF(Q$3&gt;='Допущения'!$K$17,Q$4*'Допущения'!$J$17*'Допущения'!$I$17,0)</f>
        <v/>
      </c>
      <c r="R21" s="15">
        <f>IF(R$3&gt;='Допущения'!$K$17,R$4*'Допущения'!$J$17*'Допущения'!$I$17,0)</f>
        <v/>
      </c>
      <c r="S21" s="15">
        <f>IF(S$3&gt;='Допущения'!$K$17,S$4*'Допущения'!$J$17*'Допущения'!$I$17,0)</f>
        <v/>
      </c>
      <c r="T21" s="15">
        <f>IF(T$3&gt;='Допущения'!$K$17,T$4*'Допущения'!$J$17*'Допущения'!$I$17,0)</f>
        <v/>
      </c>
      <c r="U21" s="15">
        <f>IF(U$3&gt;='Допущения'!$K$17,U$4*'Допущения'!$J$17*'Допущения'!$I$17,0)</f>
        <v/>
      </c>
      <c r="V21" s="15">
        <f>IF(V$3&gt;='Допущения'!$K$17,V$4*'Допущения'!$J$17*'Допущения'!$I$17,0)</f>
        <v/>
      </c>
      <c r="W21" s="15">
        <f>IF(W$3&gt;='Допущения'!$K$17,W$4*'Допущения'!$J$17*'Допущения'!$I$17,0)</f>
        <v/>
      </c>
      <c r="X21" s="15">
        <f>IF(X$3&gt;='Допущения'!$K$17,X$4*'Допущения'!$J$17*'Допущения'!$I$17,0)</f>
        <v/>
      </c>
      <c r="Y21" s="15">
        <f>IF(Y$3&gt;='Допущения'!$K$17,Y$4*'Допущения'!$J$17*'Допущения'!$I$17,0)</f>
        <v/>
      </c>
      <c r="Z21" s="15">
        <f>IF(Z$3&gt;='Допущения'!$K$17,Z$4*'Допущения'!$J$17*'Допущения'!$I$17,0)</f>
        <v/>
      </c>
      <c r="AA21" s="15">
        <f>IF(AA$3&gt;='Допущения'!$K$17,AA$4*'Допущения'!$J$17*'Допущения'!$I$17,0)</f>
        <v/>
      </c>
      <c r="AB21" s="15">
        <f>SUM(D21:AA21)</f>
        <v/>
      </c>
    </row>
    <row r="22">
      <c r="A22" t="inlineStr">
        <is>
          <t>C03</t>
        </is>
      </c>
      <c r="B22" t="inlineStr">
        <is>
          <t>GuestNode в номере</t>
        </is>
      </c>
      <c r="C22" t="inlineStr">
        <is>
          <t>ACTU</t>
        </is>
      </c>
      <c r="D22" s="15">
        <f>D21</f>
        <v/>
      </c>
      <c r="E22" s="15">
        <f>D22*(1-'Допущения'!$C$6)+E21</f>
        <v/>
      </c>
      <c r="F22" s="15">
        <f>E22*(1-'Допущения'!$C$6)+F21</f>
        <v/>
      </c>
      <c r="G22" s="15">
        <f>F22*(1-'Допущения'!$C$6)+G21</f>
        <v/>
      </c>
      <c r="H22" s="15">
        <f>G22*(1-'Допущения'!$C$6)+H21</f>
        <v/>
      </c>
      <c r="I22" s="15">
        <f>H22*(1-'Допущения'!$C$6)+I21</f>
        <v/>
      </c>
      <c r="J22" s="15">
        <f>I22*(1-'Допущения'!$C$6)+J21</f>
        <v/>
      </c>
      <c r="K22" s="15">
        <f>J22*(1-'Допущения'!$C$6)+K21</f>
        <v/>
      </c>
      <c r="L22" s="15">
        <f>K22*(1-'Допущения'!$C$6)+L21</f>
        <v/>
      </c>
      <c r="M22" s="15">
        <f>L22*(1-'Допущения'!$C$6)+M21</f>
        <v/>
      </c>
      <c r="N22" s="15">
        <f>M22*(1-'Допущения'!$C$6)+N21</f>
        <v/>
      </c>
      <c r="O22" s="15">
        <f>N22*(1-'Допущения'!$C$6)+O21</f>
        <v/>
      </c>
      <c r="P22" s="15">
        <f>O22*(1-'Допущения'!$C$6)+P21</f>
        <v/>
      </c>
      <c r="Q22" s="15">
        <f>P22*(1-'Допущения'!$C$6)+Q21</f>
        <v/>
      </c>
      <c r="R22" s="15">
        <f>Q22*(1-'Допущения'!$C$6)+R21</f>
        <v/>
      </c>
      <c r="S22" s="15">
        <f>R22*(1-'Допущения'!$C$6)+S21</f>
        <v/>
      </c>
      <c r="T22" s="15">
        <f>S22*(1-'Допущения'!$C$6)+T21</f>
        <v/>
      </c>
      <c r="U22" s="15">
        <f>T22*(1-'Допущения'!$C$6)+U21</f>
        <v/>
      </c>
      <c r="V22" s="15">
        <f>U22*(1-'Допущения'!$C$6)+V21</f>
        <v/>
      </c>
      <c r="W22" s="15">
        <f>V22*(1-'Допущения'!$C$6)+W21</f>
        <v/>
      </c>
      <c r="X22" s="15">
        <f>W22*(1-'Допущения'!$C$6)+X21</f>
        <v/>
      </c>
      <c r="Y22" s="15">
        <f>X22*(1-'Допущения'!$C$6)+Y21</f>
        <v/>
      </c>
      <c r="Z22" s="15">
        <f>Y22*(1-'Допущения'!$C$6)+Z21</f>
        <v/>
      </c>
      <c r="AA22" s="15">
        <f>Z22*(1-'Допущения'!$C$6)+AA21</f>
        <v/>
      </c>
      <c r="AB22" s="15">
        <f>SUM(D22:AA22)</f>
        <v/>
      </c>
    </row>
    <row r="23">
      <c r="A23" t="inlineStr">
        <is>
          <t>C03</t>
        </is>
      </c>
      <c r="B23" t="inlineStr">
        <is>
          <t>GuestNode в номере</t>
        </is>
      </c>
      <c r="C23" t="inlineStr">
        <is>
          <t>HWREV</t>
        </is>
      </c>
      <c r="D23" s="15">
        <f>D21*'Допущения'!$E$17</f>
        <v/>
      </c>
      <c r="E23" s="15">
        <f>E21*'Допущения'!$E$17</f>
        <v/>
      </c>
      <c r="F23" s="15">
        <f>F21*'Допущения'!$E$17</f>
        <v/>
      </c>
      <c r="G23" s="15">
        <f>G21*'Допущения'!$E$17</f>
        <v/>
      </c>
      <c r="H23" s="15">
        <f>H21*'Допущения'!$E$17</f>
        <v/>
      </c>
      <c r="I23" s="15">
        <f>I21*'Допущения'!$E$17</f>
        <v/>
      </c>
      <c r="J23" s="15">
        <f>J21*'Допущения'!$E$17</f>
        <v/>
      </c>
      <c r="K23" s="15">
        <f>K21*'Допущения'!$E$17</f>
        <v/>
      </c>
      <c r="L23" s="15">
        <f>L21*'Допущения'!$E$17</f>
        <v/>
      </c>
      <c r="M23" s="15">
        <f>M21*'Допущения'!$E$17</f>
        <v/>
      </c>
      <c r="N23" s="15">
        <f>N21*'Допущения'!$E$17</f>
        <v/>
      </c>
      <c r="O23" s="15">
        <f>O21*'Допущения'!$E$17</f>
        <v/>
      </c>
      <c r="P23" s="15">
        <f>P21*'Допущения'!$E$17</f>
        <v/>
      </c>
      <c r="Q23" s="15">
        <f>Q21*'Допущения'!$E$17</f>
        <v/>
      </c>
      <c r="R23" s="15">
        <f>R21*'Допущения'!$E$17</f>
        <v/>
      </c>
      <c r="S23" s="15">
        <f>S21*'Допущения'!$E$17</f>
        <v/>
      </c>
      <c r="T23" s="15">
        <f>T21*'Допущения'!$E$17</f>
        <v/>
      </c>
      <c r="U23" s="15">
        <f>U21*'Допущения'!$E$17</f>
        <v/>
      </c>
      <c r="V23" s="15">
        <f>V21*'Допущения'!$E$17</f>
        <v/>
      </c>
      <c r="W23" s="15">
        <f>W21*'Допущения'!$E$17</f>
        <v/>
      </c>
      <c r="X23" s="15">
        <f>X21*'Допущения'!$E$17</f>
        <v/>
      </c>
      <c r="Y23" s="15">
        <f>Y21*'Допущения'!$E$17</f>
        <v/>
      </c>
      <c r="Z23" s="15">
        <f>Z21*'Допущения'!$E$17</f>
        <v/>
      </c>
      <c r="AA23" s="15">
        <f>AA21*'Допущения'!$E$17</f>
        <v/>
      </c>
      <c r="AB23" s="15">
        <f>SUM(D23:AA23)</f>
        <v/>
      </c>
    </row>
    <row r="24">
      <c r="A24" t="inlineStr">
        <is>
          <t>C03</t>
        </is>
      </c>
      <c r="B24" t="inlineStr">
        <is>
          <t>GuestNode в номере</t>
        </is>
      </c>
      <c r="C24" t="inlineStr">
        <is>
          <t>RECREV</t>
        </is>
      </c>
      <c r="D24" s="15">
        <f>D22*'Допущения'!$F$17</f>
        <v/>
      </c>
      <c r="E24" s="15">
        <f>E22*'Допущения'!$F$17</f>
        <v/>
      </c>
      <c r="F24" s="15">
        <f>F22*'Допущения'!$F$17</f>
        <v/>
      </c>
      <c r="G24" s="15">
        <f>G22*'Допущения'!$F$17</f>
        <v/>
      </c>
      <c r="H24" s="15">
        <f>H22*'Допущения'!$F$17</f>
        <v/>
      </c>
      <c r="I24" s="15">
        <f>I22*'Допущения'!$F$17</f>
        <v/>
      </c>
      <c r="J24" s="15">
        <f>J22*'Допущения'!$F$17</f>
        <v/>
      </c>
      <c r="K24" s="15">
        <f>K22*'Допущения'!$F$17</f>
        <v/>
      </c>
      <c r="L24" s="15">
        <f>L22*'Допущения'!$F$17</f>
        <v/>
      </c>
      <c r="M24" s="15">
        <f>M22*'Допущения'!$F$17</f>
        <v/>
      </c>
      <c r="N24" s="15">
        <f>N22*'Допущения'!$F$17</f>
        <v/>
      </c>
      <c r="O24" s="15">
        <f>O22*'Допущения'!$F$17</f>
        <v/>
      </c>
      <c r="P24" s="15">
        <f>P22*'Допущения'!$F$17</f>
        <v/>
      </c>
      <c r="Q24" s="15">
        <f>Q22*'Допущения'!$F$17</f>
        <v/>
      </c>
      <c r="R24" s="15">
        <f>R22*'Допущения'!$F$17</f>
        <v/>
      </c>
      <c r="S24" s="15">
        <f>S22*'Допущения'!$F$17</f>
        <v/>
      </c>
      <c r="T24" s="15">
        <f>T22*'Допущения'!$F$17</f>
        <v/>
      </c>
      <c r="U24" s="15">
        <f>U22*'Допущения'!$F$17</f>
        <v/>
      </c>
      <c r="V24" s="15">
        <f>V22*'Допущения'!$F$17</f>
        <v/>
      </c>
      <c r="W24" s="15">
        <f>W22*'Допущения'!$F$17</f>
        <v/>
      </c>
      <c r="X24" s="15">
        <f>X22*'Допущения'!$F$17</f>
        <v/>
      </c>
      <c r="Y24" s="15">
        <f>Y22*'Допущения'!$F$17</f>
        <v/>
      </c>
      <c r="Z24" s="15">
        <f>Z22*'Допущения'!$F$17</f>
        <v/>
      </c>
      <c r="AA24" s="15">
        <f>AA22*'Допущения'!$F$17</f>
        <v/>
      </c>
      <c r="AB24" s="15">
        <f>SUM(D24:AA24)</f>
        <v/>
      </c>
    </row>
    <row r="25">
      <c r="A25" t="inlineStr">
        <is>
          <t>C03</t>
        </is>
      </c>
      <c r="B25" t="inlineStr">
        <is>
          <t>GuestNode в номере</t>
        </is>
      </c>
      <c r="C25" t="inlineStr">
        <is>
          <t>TXNREV</t>
        </is>
      </c>
      <c r="D25" s="15">
        <f>D22*'Допущения'!$G$17</f>
        <v/>
      </c>
      <c r="E25" s="15">
        <f>E22*'Допущения'!$G$17</f>
        <v/>
      </c>
      <c r="F25" s="15">
        <f>F22*'Допущения'!$G$17</f>
        <v/>
      </c>
      <c r="G25" s="15">
        <f>G22*'Допущения'!$G$17</f>
        <v/>
      </c>
      <c r="H25" s="15">
        <f>H22*'Допущения'!$G$17</f>
        <v/>
      </c>
      <c r="I25" s="15">
        <f>I22*'Допущения'!$G$17</f>
        <v/>
      </c>
      <c r="J25" s="15">
        <f>J22*'Допущения'!$G$17</f>
        <v/>
      </c>
      <c r="K25" s="15">
        <f>K22*'Допущения'!$G$17</f>
        <v/>
      </c>
      <c r="L25" s="15">
        <f>L22*'Допущения'!$G$17</f>
        <v/>
      </c>
      <c r="M25" s="15">
        <f>M22*'Допущения'!$G$17</f>
        <v/>
      </c>
      <c r="N25" s="15">
        <f>N22*'Допущения'!$G$17</f>
        <v/>
      </c>
      <c r="O25" s="15">
        <f>O22*'Допущения'!$G$17</f>
        <v/>
      </c>
      <c r="P25" s="15">
        <f>P22*'Допущения'!$G$17</f>
        <v/>
      </c>
      <c r="Q25" s="15">
        <f>Q22*'Допущения'!$G$17</f>
        <v/>
      </c>
      <c r="R25" s="15">
        <f>R22*'Допущения'!$G$17</f>
        <v/>
      </c>
      <c r="S25" s="15">
        <f>S22*'Допущения'!$G$17</f>
        <v/>
      </c>
      <c r="T25" s="15">
        <f>T22*'Допущения'!$G$17</f>
        <v/>
      </c>
      <c r="U25" s="15">
        <f>U22*'Допущения'!$G$17</f>
        <v/>
      </c>
      <c r="V25" s="15">
        <f>V22*'Допущения'!$G$17</f>
        <v/>
      </c>
      <c r="W25" s="15">
        <f>W22*'Допущения'!$G$17</f>
        <v/>
      </c>
      <c r="X25" s="15">
        <f>X22*'Допущения'!$G$17</f>
        <v/>
      </c>
      <c r="Y25" s="15">
        <f>Y22*'Допущения'!$G$17</f>
        <v/>
      </c>
      <c r="Z25" s="15">
        <f>Z22*'Допущения'!$G$17</f>
        <v/>
      </c>
      <c r="AA25" s="15">
        <f>AA22*'Допущения'!$G$17</f>
        <v/>
      </c>
      <c r="AB25" s="15">
        <f>SUM(D25:AA25)</f>
        <v/>
      </c>
    </row>
    <row r="26">
      <c r="A26" t="inlineStr">
        <is>
          <t>C03</t>
        </is>
      </c>
      <c r="B26" t="inlineStr">
        <is>
          <t>GuestNode в номере</t>
        </is>
      </c>
      <c r="C26" t="inlineStr">
        <is>
          <t>COGS</t>
        </is>
      </c>
      <c r="D26" s="15">
        <f>D21*('Допущения'!$C$17+'Допущения'!$D$17)</f>
        <v/>
      </c>
      <c r="E26" s="15">
        <f>E21*('Допущения'!$C$17+'Допущения'!$D$17)</f>
        <v/>
      </c>
      <c r="F26" s="15">
        <f>F21*('Допущения'!$C$17+'Допущения'!$D$17)</f>
        <v/>
      </c>
      <c r="G26" s="15">
        <f>G21*('Допущения'!$C$17+'Допущения'!$D$17)</f>
        <v/>
      </c>
      <c r="H26" s="15">
        <f>H21*('Допущения'!$C$17+'Допущения'!$D$17)</f>
        <v/>
      </c>
      <c r="I26" s="15">
        <f>I21*('Допущения'!$C$17+'Допущения'!$D$17)</f>
        <v/>
      </c>
      <c r="J26" s="15">
        <f>J21*('Допущения'!$C$17+'Допущения'!$D$17)</f>
        <v/>
      </c>
      <c r="K26" s="15">
        <f>K21*('Допущения'!$C$17+'Допущения'!$D$17)</f>
        <v/>
      </c>
      <c r="L26" s="15">
        <f>L21*('Допущения'!$C$17+'Допущения'!$D$17)</f>
        <v/>
      </c>
      <c r="M26" s="15">
        <f>M21*('Допущения'!$C$17+'Допущения'!$D$17)</f>
        <v/>
      </c>
      <c r="N26" s="15">
        <f>N21*('Допущения'!$C$17+'Допущения'!$D$17)</f>
        <v/>
      </c>
      <c r="O26" s="15">
        <f>O21*('Допущения'!$C$17+'Допущения'!$D$17)</f>
        <v/>
      </c>
      <c r="P26" s="15">
        <f>P21*('Допущения'!$C$17+'Допущения'!$D$17)</f>
        <v/>
      </c>
      <c r="Q26" s="15">
        <f>Q21*('Допущения'!$C$17+'Допущения'!$D$17)</f>
        <v/>
      </c>
      <c r="R26" s="15">
        <f>R21*('Допущения'!$C$17+'Допущения'!$D$17)</f>
        <v/>
      </c>
      <c r="S26" s="15">
        <f>S21*('Допущения'!$C$17+'Допущения'!$D$17)</f>
        <v/>
      </c>
      <c r="T26" s="15">
        <f>T21*('Допущения'!$C$17+'Допущения'!$D$17)</f>
        <v/>
      </c>
      <c r="U26" s="15">
        <f>U21*('Допущения'!$C$17+'Допущения'!$D$17)</f>
        <v/>
      </c>
      <c r="V26" s="15">
        <f>V21*('Допущения'!$C$17+'Допущения'!$D$17)</f>
        <v/>
      </c>
      <c r="W26" s="15">
        <f>W21*('Допущения'!$C$17+'Допущения'!$D$17)</f>
        <v/>
      </c>
      <c r="X26" s="15">
        <f>X21*('Допущения'!$C$17+'Допущения'!$D$17)</f>
        <v/>
      </c>
      <c r="Y26" s="15">
        <f>Y21*('Допущения'!$C$17+'Допущения'!$D$17)</f>
        <v/>
      </c>
      <c r="Z26" s="15">
        <f>Z21*('Допущения'!$C$17+'Допущения'!$D$17)</f>
        <v/>
      </c>
      <c r="AA26" s="15">
        <f>AA21*('Допущения'!$C$17+'Допущения'!$D$17)</f>
        <v/>
      </c>
      <c r="AB26" s="15">
        <f>SUM(D26:AA26)</f>
        <v/>
      </c>
    </row>
    <row r="27">
      <c r="A27" t="inlineStr">
        <is>
          <t>C03</t>
        </is>
      </c>
      <c r="B27" t="inlineStr">
        <is>
          <t>GuestNode в номере</t>
        </is>
      </c>
      <c r="C27" t="inlineStr">
        <is>
          <t>VARC</t>
        </is>
      </c>
      <c r="D27" s="15">
        <f>D22*'Допущения'!$H$17</f>
        <v/>
      </c>
      <c r="E27" s="15">
        <f>E22*'Допущения'!$H$17</f>
        <v/>
      </c>
      <c r="F27" s="15">
        <f>F22*'Допущения'!$H$17</f>
        <v/>
      </c>
      <c r="G27" s="15">
        <f>G22*'Допущения'!$H$17</f>
        <v/>
      </c>
      <c r="H27" s="15">
        <f>H22*'Допущения'!$H$17</f>
        <v/>
      </c>
      <c r="I27" s="15">
        <f>I22*'Допущения'!$H$17</f>
        <v/>
      </c>
      <c r="J27" s="15">
        <f>J22*'Допущения'!$H$17</f>
        <v/>
      </c>
      <c r="K27" s="15">
        <f>K22*'Допущения'!$H$17</f>
        <v/>
      </c>
      <c r="L27" s="15">
        <f>L22*'Допущения'!$H$17</f>
        <v/>
      </c>
      <c r="M27" s="15">
        <f>M22*'Допущения'!$H$17</f>
        <v/>
      </c>
      <c r="N27" s="15">
        <f>N22*'Допущения'!$H$17</f>
        <v/>
      </c>
      <c r="O27" s="15">
        <f>O22*'Допущения'!$H$17</f>
        <v/>
      </c>
      <c r="P27" s="15">
        <f>P22*'Допущения'!$H$17</f>
        <v/>
      </c>
      <c r="Q27" s="15">
        <f>Q22*'Допущения'!$H$17</f>
        <v/>
      </c>
      <c r="R27" s="15">
        <f>R22*'Допущения'!$H$17</f>
        <v/>
      </c>
      <c r="S27" s="15">
        <f>S22*'Допущения'!$H$17</f>
        <v/>
      </c>
      <c r="T27" s="15">
        <f>T22*'Допущения'!$H$17</f>
        <v/>
      </c>
      <c r="U27" s="15">
        <f>U22*'Допущения'!$H$17</f>
        <v/>
      </c>
      <c r="V27" s="15">
        <f>V22*'Допущения'!$H$17</f>
        <v/>
      </c>
      <c r="W27" s="15">
        <f>W22*'Допущения'!$H$17</f>
        <v/>
      </c>
      <c r="X27" s="15">
        <f>X22*'Допущения'!$H$17</f>
        <v/>
      </c>
      <c r="Y27" s="15">
        <f>Y22*'Допущения'!$H$17</f>
        <v/>
      </c>
      <c r="Z27" s="15">
        <f>Z22*'Допущения'!$H$17</f>
        <v/>
      </c>
      <c r="AA27" s="15">
        <f>AA22*'Допущения'!$H$17</f>
        <v/>
      </c>
      <c r="AB27" s="15">
        <f>SUM(D27:AA27)</f>
        <v/>
      </c>
    </row>
    <row r="28">
      <c r="A28" t="inlineStr">
        <is>
          <t>C04</t>
        </is>
      </c>
      <c r="B28" t="inlineStr">
        <is>
          <t>Smart Travel Wall (микро-магазин)</t>
        </is>
      </c>
      <c r="C28" t="inlineStr">
        <is>
          <t>NEWU</t>
        </is>
      </c>
      <c r="D28" s="15">
        <f>IF(D$3&gt;='Допущения'!$K$18,D$4*'Допущения'!$J$18*'Допущения'!$I$18,0)</f>
        <v/>
      </c>
      <c r="E28" s="15">
        <f>IF(E$3&gt;='Допущения'!$K$18,E$4*'Допущения'!$J$18*'Допущения'!$I$18,0)</f>
        <v/>
      </c>
      <c r="F28" s="15">
        <f>IF(F$3&gt;='Допущения'!$K$18,F$4*'Допущения'!$J$18*'Допущения'!$I$18,0)</f>
        <v/>
      </c>
      <c r="G28" s="15">
        <f>IF(G$3&gt;='Допущения'!$K$18,G$4*'Допущения'!$J$18*'Допущения'!$I$18,0)</f>
        <v/>
      </c>
      <c r="H28" s="15">
        <f>IF(H$3&gt;='Допущения'!$K$18,H$4*'Допущения'!$J$18*'Допущения'!$I$18,0)</f>
        <v/>
      </c>
      <c r="I28" s="15">
        <f>IF(I$3&gt;='Допущения'!$K$18,I$4*'Допущения'!$J$18*'Допущения'!$I$18,0)</f>
        <v/>
      </c>
      <c r="J28" s="15">
        <f>IF(J$3&gt;='Допущения'!$K$18,J$4*'Допущения'!$J$18*'Допущения'!$I$18,0)</f>
        <v/>
      </c>
      <c r="K28" s="15">
        <f>IF(K$3&gt;='Допущения'!$K$18,K$4*'Допущения'!$J$18*'Допущения'!$I$18,0)</f>
        <v/>
      </c>
      <c r="L28" s="15">
        <f>IF(L$3&gt;='Допущения'!$K$18,L$4*'Допущения'!$J$18*'Допущения'!$I$18,0)</f>
        <v/>
      </c>
      <c r="M28" s="15">
        <f>IF(M$3&gt;='Допущения'!$K$18,M$4*'Допущения'!$J$18*'Допущения'!$I$18,0)</f>
        <v/>
      </c>
      <c r="N28" s="15">
        <f>IF(N$3&gt;='Допущения'!$K$18,N$4*'Допущения'!$J$18*'Допущения'!$I$18,0)</f>
        <v/>
      </c>
      <c r="O28" s="15">
        <f>IF(O$3&gt;='Допущения'!$K$18,O$4*'Допущения'!$J$18*'Допущения'!$I$18,0)</f>
        <v/>
      </c>
      <c r="P28" s="15">
        <f>IF(P$3&gt;='Допущения'!$K$18,P$4*'Допущения'!$J$18*'Допущения'!$I$18,0)</f>
        <v/>
      </c>
      <c r="Q28" s="15">
        <f>IF(Q$3&gt;='Допущения'!$K$18,Q$4*'Допущения'!$J$18*'Допущения'!$I$18,0)</f>
        <v/>
      </c>
      <c r="R28" s="15">
        <f>IF(R$3&gt;='Допущения'!$K$18,R$4*'Допущения'!$J$18*'Допущения'!$I$18,0)</f>
        <v/>
      </c>
      <c r="S28" s="15">
        <f>IF(S$3&gt;='Допущения'!$K$18,S$4*'Допущения'!$J$18*'Допущения'!$I$18,0)</f>
        <v/>
      </c>
      <c r="T28" s="15">
        <f>IF(T$3&gt;='Допущения'!$K$18,T$4*'Допущения'!$J$18*'Допущения'!$I$18,0)</f>
        <v/>
      </c>
      <c r="U28" s="15">
        <f>IF(U$3&gt;='Допущения'!$K$18,U$4*'Допущения'!$J$18*'Допущения'!$I$18,0)</f>
        <v/>
      </c>
      <c r="V28" s="15">
        <f>IF(V$3&gt;='Допущения'!$K$18,V$4*'Допущения'!$J$18*'Допущения'!$I$18,0)</f>
        <v/>
      </c>
      <c r="W28" s="15">
        <f>IF(W$3&gt;='Допущения'!$K$18,W$4*'Допущения'!$J$18*'Допущения'!$I$18,0)</f>
        <v/>
      </c>
      <c r="X28" s="15">
        <f>IF(X$3&gt;='Допущения'!$K$18,X$4*'Допущения'!$J$18*'Допущения'!$I$18,0)</f>
        <v/>
      </c>
      <c r="Y28" s="15">
        <f>IF(Y$3&gt;='Допущения'!$K$18,Y$4*'Допущения'!$J$18*'Допущения'!$I$18,0)</f>
        <v/>
      </c>
      <c r="Z28" s="15">
        <f>IF(Z$3&gt;='Допущения'!$K$18,Z$4*'Допущения'!$J$18*'Допущения'!$I$18,0)</f>
        <v/>
      </c>
      <c r="AA28" s="15">
        <f>IF(AA$3&gt;='Допущения'!$K$18,AA$4*'Допущения'!$J$18*'Допущения'!$I$18,0)</f>
        <v/>
      </c>
      <c r="AB28" s="15">
        <f>SUM(D28:AA28)</f>
        <v/>
      </c>
    </row>
    <row r="29">
      <c r="A29" t="inlineStr">
        <is>
          <t>C04</t>
        </is>
      </c>
      <c r="B29" t="inlineStr">
        <is>
          <t>Smart Travel Wall (микро-магазин)</t>
        </is>
      </c>
      <c r="C29" t="inlineStr">
        <is>
          <t>ACTU</t>
        </is>
      </c>
      <c r="D29" s="15">
        <f>D28</f>
        <v/>
      </c>
      <c r="E29" s="15">
        <f>D29*(1-'Допущения'!$C$6)+E28</f>
        <v/>
      </c>
      <c r="F29" s="15">
        <f>E29*(1-'Допущения'!$C$6)+F28</f>
        <v/>
      </c>
      <c r="G29" s="15">
        <f>F29*(1-'Допущения'!$C$6)+G28</f>
        <v/>
      </c>
      <c r="H29" s="15">
        <f>G29*(1-'Допущения'!$C$6)+H28</f>
        <v/>
      </c>
      <c r="I29" s="15">
        <f>H29*(1-'Допущения'!$C$6)+I28</f>
        <v/>
      </c>
      <c r="J29" s="15">
        <f>I29*(1-'Допущения'!$C$6)+J28</f>
        <v/>
      </c>
      <c r="K29" s="15">
        <f>J29*(1-'Допущения'!$C$6)+K28</f>
        <v/>
      </c>
      <c r="L29" s="15">
        <f>K29*(1-'Допущения'!$C$6)+L28</f>
        <v/>
      </c>
      <c r="M29" s="15">
        <f>L29*(1-'Допущения'!$C$6)+M28</f>
        <v/>
      </c>
      <c r="N29" s="15">
        <f>M29*(1-'Допущения'!$C$6)+N28</f>
        <v/>
      </c>
      <c r="O29" s="15">
        <f>N29*(1-'Допущения'!$C$6)+O28</f>
        <v/>
      </c>
      <c r="P29" s="15">
        <f>O29*(1-'Допущения'!$C$6)+P28</f>
        <v/>
      </c>
      <c r="Q29" s="15">
        <f>P29*(1-'Допущения'!$C$6)+Q28</f>
        <v/>
      </c>
      <c r="R29" s="15">
        <f>Q29*(1-'Допущения'!$C$6)+R28</f>
        <v/>
      </c>
      <c r="S29" s="15">
        <f>R29*(1-'Допущения'!$C$6)+S28</f>
        <v/>
      </c>
      <c r="T29" s="15">
        <f>S29*(1-'Допущения'!$C$6)+T28</f>
        <v/>
      </c>
      <c r="U29" s="15">
        <f>T29*(1-'Допущения'!$C$6)+U28</f>
        <v/>
      </c>
      <c r="V29" s="15">
        <f>U29*(1-'Допущения'!$C$6)+V28</f>
        <v/>
      </c>
      <c r="W29" s="15">
        <f>V29*(1-'Допущения'!$C$6)+W28</f>
        <v/>
      </c>
      <c r="X29" s="15">
        <f>W29*(1-'Допущения'!$C$6)+X28</f>
        <v/>
      </c>
      <c r="Y29" s="15">
        <f>X29*(1-'Допущения'!$C$6)+Y28</f>
        <v/>
      </c>
      <c r="Z29" s="15">
        <f>Y29*(1-'Допущения'!$C$6)+Z28</f>
        <v/>
      </c>
      <c r="AA29" s="15">
        <f>Z29*(1-'Допущения'!$C$6)+AA28</f>
        <v/>
      </c>
      <c r="AB29" s="15">
        <f>SUM(D29:AA29)</f>
        <v/>
      </c>
    </row>
    <row r="30">
      <c r="A30" t="inlineStr">
        <is>
          <t>C04</t>
        </is>
      </c>
      <c r="B30" t="inlineStr">
        <is>
          <t>Smart Travel Wall (микро-магазин)</t>
        </is>
      </c>
      <c r="C30" t="inlineStr">
        <is>
          <t>HWREV</t>
        </is>
      </c>
      <c r="D30" s="15">
        <f>D28*'Допущения'!$E$18</f>
        <v/>
      </c>
      <c r="E30" s="15">
        <f>E28*'Допущения'!$E$18</f>
        <v/>
      </c>
      <c r="F30" s="15">
        <f>F28*'Допущения'!$E$18</f>
        <v/>
      </c>
      <c r="G30" s="15">
        <f>G28*'Допущения'!$E$18</f>
        <v/>
      </c>
      <c r="H30" s="15">
        <f>H28*'Допущения'!$E$18</f>
        <v/>
      </c>
      <c r="I30" s="15">
        <f>I28*'Допущения'!$E$18</f>
        <v/>
      </c>
      <c r="J30" s="15">
        <f>J28*'Допущения'!$E$18</f>
        <v/>
      </c>
      <c r="K30" s="15">
        <f>K28*'Допущения'!$E$18</f>
        <v/>
      </c>
      <c r="L30" s="15">
        <f>L28*'Допущения'!$E$18</f>
        <v/>
      </c>
      <c r="M30" s="15">
        <f>M28*'Допущения'!$E$18</f>
        <v/>
      </c>
      <c r="N30" s="15">
        <f>N28*'Допущения'!$E$18</f>
        <v/>
      </c>
      <c r="O30" s="15">
        <f>O28*'Допущения'!$E$18</f>
        <v/>
      </c>
      <c r="P30" s="15">
        <f>P28*'Допущения'!$E$18</f>
        <v/>
      </c>
      <c r="Q30" s="15">
        <f>Q28*'Допущения'!$E$18</f>
        <v/>
      </c>
      <c r="R30" s="15">
        <f>R28*'Допущения'!$E$18</f>
        <v/>
      </c>
      <c r="S30" s="15">
        <f>S28*'Допущения'!$E$18</f>
        <v/>
      </c>
      <c r="T30" s="15">
        <f>T28*'Допущения'!$E$18</f>
        <v/>
      </c>
      <c r="U30" s="15">
        <f>U28*'Допущения'!$E$18</f>
        <v/>
      </c>
      <c r="V30" s="15">
        <f>V28*'Допущения'!$E$18</f>
        <v/>
      </c>
      <c r="W30" s="15">
        <f>W28*'Допущения'!$E$18</f>
        <v/>
      </c>
      <c r="X30" s="15">
        <f>X28*'Допущения'!$E$18</f>
        <v/>
      </c>
      <c r="Y30" s="15">
        <f>Y28*'Допущения'!$E$18</f>
        <v/>
      </c>
      <c r="Z30" s="15">
        <f>Z28*'Допущения'!$E$18</f>
        <v/>
      </c>
      <c r="AA30" s="15">
        <f>AA28*'Допущения'!$E$18</f>
        <v/>
      </c>
      <c r="AB30" s="15">
        <f>SUM(D30:AA30)</f>
        <v/>
      </c>
    </row>
    <row r="31">
      <c r="A31" t="inlineStr">
        <is>
          <t>C04</t>
        </is>
      </c>
      <c r="B31" t="inlineStr">
        <is>
          <t>Smart Travel Wall (микро-магазин)</t>
        </is>
      </c>
      <c r="C31" t="inlineStr">
        <is>
          <t>RECREV</t>
        </is>
      </c>
      <c r="D31" s="15">
        <f>D29*'Допущения'!$F$18</f>
        <v/>
      </c>
      <c r="E31" s="15">
        <f>E29*'Допущения'!$F$18</f>
        <v/>
      </c>
      <c r="F31" s="15">
        <f>F29*'Допущения'!$F$18</f>
        <v/>
      </c>
      <c r="G31" s="15">
        <f>G29*'Допущения'!$F$18</f>
        <v/>
      </c>
      <c r="H31" s="15">
        <f>H29*'Допущения'!$F$18</f>
        <v/>
      </c>
      <c r="I31" s="15">
        <f>I29*'Допущения'!$F$18</f>
        <v/>
      </c>
      <c r="J31" s="15">
        <f>J29*'Допущения'!$F$18</f>
        <v/>
      </c>
      <c r="K31" s="15">
        <f>K29*'Допущения'!$F$18</f>
        <v/>
      </c>
      <c r="L31" s="15">
        <f>L29*'Допущения'!$F$18</f>
        <v/>
      </c>
      <c r="M31" s="15">
        <f>M29*'Допущения'!$F$18</f>
        <v/>
      </c>
      <c r="N31" s="15">
        <f>N29*'Допущения'!$F$18</f>
        <v/>
      </c>
      <c r="O31" s="15">
        <f>O29*'Допущения'!$F$18</f>
        <v/>
      </c>
      <c r="P31" s="15">
        <f>P29*'Допущения'!$F$18</f>
        <v/>
      </c>
      <c r="Q31" s="15">
        <f>Q29*'Допущения'!$F$18</f>
        <v/>
      </c>
      <c r="R31" s="15">
        <f>R29*'Допущения'!$F$18</f>
        <v/>
      </c>
      <c r="S31" s="15">
        <f>S29*'Допущения'!$F$18</f>
        <v/>
      </c>
      <c r="T31" s="15">
        <f>T29*'Допущения'!$F$18</f>
        <v/>
      </c>
      <c r="U31" s="15">
        <f>U29*'Допущения'!$F$18</f>
        <v/>
      </c>
      <c r="V31" s="15">
        <f>V29*'Допущения'!$F$18</f>
        <v/>
      </c>
      <c r="W31" s="15">
        <f>W29*'Допущения'!$F$18</f>
        <v/>
      </c>
      <c r="X31" s="15">
        <f>X29*'Допущения'!$F$18</f>
        <v/>
      </c>
      <c r="Y31" s="15">
        <f>Y29*'Допущения'!$F$18</f>
        <v/>
      </c>
      <c r="Z31" s="15">
        <f>Z29*'Допущения'!$F$18</f>
        <v/>
      </c>
      <c r="AA31" s="15">
        <f>AA29*'Допущения'!$F$18</f>
        <v/>
      </c>
      <c r="AB31" s="15">
        <f>SUM(D31:AA31)</f>
        <v/>
      </c>
    </row>
    <row r="32">
      <c r="A32" t="inlineStr">
        <is>
          <t>C04</t>
        </is>
      </c>
      <c r="B32" t="inlineStr">
        <is>
          <t>Smart Travel Wall (микро-магазин)</t>
        </is>
      </c>
      <c r="C32" t="inlineStr">
        <is>
          <t>TXNREV</t>
        </is>
      </c>
      <c r="D32" s="15">
        <f>D29*'Допущения'!$G$18</f>
        <v/>
      </c>
      <c r="E32" s="15">
        <f>E29*'Допущения'!$G$18</f>
        <v/>
      </c>
      <c r="F32" s="15">
        <f>F29*'Допущения'!$G$18</f>
        <v/>
      </c>
      <c r="G32" s="15">
        <f>G29*'Допущения'!$G$18</f>
        <v/>
      </c>
      <c r="H32" s="15">
        <f>H29*'Допущения'!$G$18</f>
        <v/>
      </c>
      <c r="I32" s="15">
        <f>I29*'Допущения'!$G$18</f>
        <v/>
      </c>
      <c r="J32" s="15">
        <f>J29*'Допущения'!$G$18</f>
        <v/>
      </c>
      <c r="K32" s="15">
        <f>K29*'Допущения'!$G$18</f>
        <v/>
      </c>
      <c r="L32" s="15">
        <f>L29*'Допущения'!$G$18</f>
        <v/>
      </c>
      <c r="M32" s="15">
        <f>M29*'Допущения'!$G$18</f>
        <v/>
      </c>
      <c r="N32" s="15">
        <f>N29*'Допущения'!$G$18</f>
        <v/>
      </c>
      <c r="O32" s="15">
        <f>O29*'Допущения'!$G$18</f>
        <v/>
      </c>
      <c r="P32" s="15">
        <f>P29*'Допущения'!$G$18</f>
        <v/>
      </c>
      <c r="Q32" s="15">
        <f>Q29*'Допущения'!$G$18</f>
        <v/>
      </c>
      <c r="R32" s="15">
        <f>R29*'Допущения'!$G$18</f>
        <v/>
      </c>
      <c r="S32" s="15">
        <f>S29*'Допущения'!$G$18</f>
        <v/>
      </c>
      <c r="T32" s="15">
        <f>T29*'Допущения'!$G$18</f>
        <v/>
      </c>
      <c r="U32" s="15">
        <f>U29*'Допущения'!$G$18</f>
        <v/>
      </c>
      <c r="V32" s="15">
        <f>V29*'Допущения'!$G$18</f>
        <v/>
      </c>
      <c r="W32" s="15">
        <f>W29*'Допущения'!$G$18</f>
        <v/>
      </c>
      <c r="X32" s="15">
        <f>X29*'Допущения'!$G$18</f>
        <v/>
      </c>
      <c r="Y32" s="15">
        <f>Y29*'Допущения'!$G$18</f>
        <v/>
      </c>
      <c r="Z32" s="15">
        <f>Z29*'Допущения'!$G$18</f>
        <v/>
      </c>
      <c r="AA32" s="15">
        <f>AA29*'Допущения'!$G$18</f>
        <v/>
      </c>
      <c r="AB32" s="15">
        <f>SUM(D32:AA32)</f>
        <v/>
      </c>
    </row>
    <row r="33">
      <c r="A33" t="inlineStr">
        <is>
          <t>C04</t>
        </is>
      </c>
      <c r="B33" t="inlineStr">
        <is>
          <t>Smart Travel Wall (микро-магазин)</t>
        </is>
      </c>
      <c r="C33" t="inlineStr">
        <is>
          <t>COGS</t>
        </is>
      </c>
      <c r="D33" s="15">
        <f>D28*('Допущения'!$C$18+'Допущения'!$D$18)</f>
        <v/>
      </c>
      <c r="E33" s="15">
        <f>E28*('Допущения'!$C$18+'Допущения'!$D$18)</f>
        <v/>
      </c>
      <c r="F33" s="15">
        <f>F28*('Допущения'!$C$18+'Допущения'!$D$18)</f>
        <v/>
      </c>
      <c r="G33" s="15">
        <f>G28*('Допущения'!$C$18+'Допущения'!$D$18)</f>
        <v/>
      </c>
      <c r="H33" s="15">
        <f>H28*('Допущения'!$C$18+'Допущения'!$D$18)</f>
        <v/>
      </c>
      <c r="I33" s="15">
        <f>I28*('Допущения'!$C$18+'Допущения'!$D$18)</f>
        <v/>
      </c>
      <c r="J33" s="15">
        <f>J28*('Допущения'!$C$18+'Допущения'!$D$18)</f>
        <v/>
      </c>
      <c r="K33" s="15">
        <f>K28*('Допущения'!$C$18+'Допущения'!$D$18)</f>
        <v/>
      </c>
      <c r="L33" s="15">
        <f>L28*('Допущения'!$C$18+'Допущения'!$D$18)</f>
        <v/>
      </c>
      <c r="M33" s="15">
        <f>M28*('Допущения'!$C$18+'Допущения'!$D$18)</f>
        <v/>
      </c>
      <c r="N33" s="15">
        <f>N28*('Допущения'!$C$18+'Допущения'!$D$18)</f>
        <v/>
      </c>
      <c r="O33" s="15">
        <f>O28*('Допущения'!$C$18+'Допущения'!$D$18)</f>
        <v/>
      </c>
      <c r="P33" s="15">
        <f>P28*('Допущения'!$C$18+'Допущения'!$D$18)</f>
        <v/>
      </c>
      <c r="Q33" s="15">
        <f>Q28*('Допущения'!$C$18+'Допущения'!$D$18)</f>
        <v/>
      </c>
      <c r="R33" s="15">
        <f>R28*('Допущения'!$C$18+'Допущения'!$D$18)</f>
        <v/>
      </c>
      <c r="S33" s="15">
        <f>S28*('Допущения'!$C$18+'Допущения'!$D$18)</f>
        <v/>
      </c>
      <c r="T33" s="15">
        <f>T28*('Допущения'!$C$18+'Допущения'!$D$18)</f>
        <v/>
      </c>
      <c r="U33" s="15">
        <f>U28*('Допущения'!$C$18+'Допущения'!$D$18)</f>
        <v/>
      </c>
      <c r="V33" s="15">
        <f>V28*('Допущения'!$C$18+'Допущения'!$D$18)</f>
        <v/>
      </c>
      <c r="W33" s="15">
        <f>W28*('Допущения'!$C$18+'Допущения'!$D$18)</f>
        <v/>
      </c>
      <c r="X33" s="15">
        <f>X28*('Допущения'!$C$18+'Допущения'!$D$18)</f>
        <v/>
      </c>
      <c r="Y33" s="15">
        <f>Y28*('Допущения'!$C$18+'Допущения'!$D$18)</f>
        <v/>
      </c>
      <c r="Z33" s="15">
        <f>Z28*('Допущения'!$C$18+'Допущения'!$D$18)</f>
        <v/>
      </c>
      <c r="AA33" s="15">
        <f>AA28*('Допущения'!$C$18+'Допущения'!$D$18)</f>
        <v/>
      </c>
      <c r="AB33" s="15">
        <f>SUM(D33:AA33)</f>
        <v/>
      </c>
    </row>
    <row r="34">
      <c r="A34" t="inlineStr">
        <is>
          <t>C04</t>
        </is>
      </c>
      <c r="B34" t="inlineStr">
        <is>
          <t>Smart Travel Wall (микро-магазин)</t>
        </is>
      </c>
      <c r="C34" t="inlineStr">
        <is>
          <t>VARC</t>
        </is>
      </c>
      <c r="D34" s="15">
        <f>D29*'Допущения'!$H$18</f>
        <v/>
      </c>
      <c r="E34" s="15">
        <f>E29*'Допущения'!$H$18</f>
        <v/>
      </c>
      <c r="F34" s="15">
        <f>F29*'Допущения'!$H$18</f>
        <v/>
      </c>
      <c r="G34" s="15">
        <f>G29*'Допущения'!$H$18</f>
        <v/>
      </c>
      <c r="H34" s="15">
        <f>H29*'Допущения'!$H$18</f>
        <v/>
      </c>
      <c r="I34" s="15">
        <f>I29*'Допущения'!$H$18</f>
        <v/>
      </c>
      <c r="J34" s="15">
        <f>J29*'Допущения'!$H$18</f>
        <v/>
      </c>
      <c r="K34" s="15">
        <f>K29*'Допущения'!$H$18</f>
        <v/>
      </c>
      <c r="L34" s="15">
        <f>L29*'Допущения'!$H$18</f>
        <v/>
      </c>
      <c r="M34" s="15">
        <f>M29*'Допущения'!$H$18</f>
        <v/>
      </c>
      <c r="N34" s="15">
        <f>N29*'Допущения'!$H$18</f>
        <v/>
      </c>
      <c r="O34" s="15">
        <f>O29*'Допущения'!$H$18</f>
        <v/>
      </c>
      <c r="P34" s="15">
        <f>P29*'Допущения'!$H$18</f>
        <v/>
      </c>
      <c r="Q34" s="15">
        <f>Q29*'Допущения'!$H$18</f>
        <v/>
      </c>
      <c r="R34" s="15">
        <f>R29*'Допущения'!$H$18</f>
        <v/>
      </c>
      <c r="S34" s="15">
        <f>S29*'Допущения'!$H$18</f>
        <v/>
      </c>
      <c r="T34" s="15">
        <f>T29*'Допущения'!$H$18</f>
        <v/>
      </c>
      <c r="U34" s="15">
        <f>U29*'Допущения'!$H$18</f>
        <v/>
      </c>
      <c r="V34" s="15">
        <f>V29*'Допущения'!$H$18</f>
        <v/>
      </c>
      <c r="W34" s="15">
        <f>W29*'Допущения'!$H$18</f>
        <v/>
      </c>
      <c r="X34" s="15">
        <f>X29*'Допущения'!$H$18</f>
        <v/>
      </c>
      <c r="Y34" s="15">
        <f>Y29*'Допущения'!$H$18</f>
        <v/>
      </c>
      <c r="Z34" s="15">
        <f>Z29*'Допущения'!$H$18</f>
        <v/>
      </c>
      <c r="AA34" s="15">
        <f>AA29*'Допущения'!$H$18</f>
        <v/>
      </c>
      <c r="AB34" s="15">
        <f>SUM(D34:AA34)</f>
        <v/>
      </c>
    </row>
    <row r="35">
      <c r="A35" t="inlineStr">
        <is>
          <t>C05</t>
        </is>
      </c>
      <c r="B35" t="inlineStr">
        <is>
          <t>Rental-локеры</t>
        </is>
      </c>
      <c r="C35" t="inlineStr">
        <is>
          <t>NEWU</t>
        </is>
      </c>
      <c r="D35" s="15">
        <f>IF(D$3&gt;='Допущения'!$K$19,D$4*'Допущения'!$J$19*'Допущения'!$I$19,0)</f>
        <v/>
      </c>
      <c r="E35" s="15">
        <f>IF(E$3&gt;='Допущения'!$K$19,E$4*'Допущения'!$J$19*'Допущения'!$I$19,0)</f>
        <v/>
      </c>
      <c r="F35" s="15">
        <f>IF(F$3&gt;='Допущения'!$K$19,F$4*'Допущения'!$J$19*'Допущения'!$I$19,0)</f>
        <v/>
      </c>
      <c r="G35" s="15">
        <f>IF(G$3&gt;='Допущения'!$K$19,G$4*'Допущения'!$J$19*'Допущения'!$I$19,0)</f>
        <v/>
      </c>
      <c r="H35" s="15">
        <f>IF(H$3&gt;='Допущения'!$K$19,H$4*'Допущения'!$J$19*'Допущения'!$I$19,0)</f>
        <v/>
      </c>
      <c r="I35" s="15">
        <f>IF(I$3&gt;='Допущения'!$K$19,I$4*'Допущения'!$J$19*'Допущения'!$I$19,0)</f>
        <v/>
      </c>
      <c r="J35" s="15">
        <f>IF(J$3&gt;='Допущения'!$K$19,J$4*'Допущения'!$J$19*'Допущения'!$I$19,0)</f>
        <v/>
      </c>
      <c r="K35" s="15">
        <f>IF(K$3&gt;='Допущения'!$K$19,K$4*'Допущения'!$J$19*'Допущения'!$I$19,0)</f>
        <v/>
      </c>
      <c r="L35" s="15">
        <f>IF(L$3&gt;='Допущения'!$K$19,L$4*'Допущения'!$J$19*'Допущения'!$I$19,0)</f>
        <v/>
      </c>
      <c r="M35" s="15">
        <f>IF(M$3&gt;='Допущения'!$K$19,M$4*'Допущения'!$J$19*'Допущения'!$I$19,0)</f>
        <v/>
      </c>
      <c r="N35" s="15">
        <f>IF(N$3&gt;='Допущения'!$K$19,N$4*'Допущения'!$J$19*'Допущения'!$I$19,0)</f>
        <v/>
      </c>
      <c r="O35" s="15">
        <f>IF(O$3&gt;='Допущения'!$K$19,O$4*'Допущения'!$J$19*'Допущения'!$I$19,0)</f>
        <v/>
      </c>
      <c r="P35" s="15">
        <f>IF(P$3&gt;='Допущения'!$K$19,P$4*'Допущения'!$J$19*'Допущения'!$I$19,0)</f>
        <v/>
      </c>
      <c r="Q35" s="15">
        <f>IF(Q$3&gt;='Допущения'!$K$19,Q$4*'Допущения'!$J$19*'Допущения'!$I$19,0)</f>
        <v/>
      </c>
      <c r="R35" s="15">
        <f>IF(R$3&gt;='Допущения'!$K$19,R$4*'Допущения'!$J$19*'Допущения'!$I$19,0)</f>
        <v/>
      </c>
      <c r="S35" s="15">
        <f>IF(S$3&gt;='Допущения'!$K$19,S$4*'Допущения'!$J$19*'Допущения'!$I$19,0)</f>
        <v/>
      </c>
      <c r="T35" s="15">
        <f>IF(T$3&gt;='Допущения'!$K$19,T$4*'Допущения'!$J$19*'Допущения'!$I$19,0)</f>
        <v/>
      </c>
      <c r="U35" s="15">
        <f>IF(U$3&gt;='Допущения'!$K$19,U$4*'Допущения'!$J$19*'Допущения'!$I$19,0)</f>
        <v/>
      </c>
      <c r="V35" s="15">
        <f>IF(V$3&gt;='Допущения'!$K$19,V$4*'Допущения'!$J$19*'Допущения'!$I$19,0)</f>
        <v/>
      </c>
      <c r="W35" s="15">
        <f>IF(W$3&gt;='Допущения'!$K$19,W$4*'Допущения'!$J$19*'Допущения'!$I$19,0)</f>
        <v/>
      </c>
      <c r="X35" s="15">
        <f>IF(X$3&gt;='Допущения'!$K$19,X$4*'Допущения'!$J$19*'Допущения'!$I$19,0)</f>
        <v/>
      </c>
      <c r="Y35" s="15">
        <f>IF(Y$3&gt;='Допущения'!$K$19,Y$4*'Допущения'!$J$19*'Допущения'!$I$19,0)</f>
        <v/>
      </c>
      <c r="Z35" s="15">
        <f>IF(Z$3&gt;='Допущения'!$K$19,Z$4*'Допущения'!$J$19*'Допущения'!$I$19,0)</f>
        <v/>
      </c>
      <c r="AA35" s="15">
        <f>IF(AA$3&gt;='Допущения'!$K$19,AA$4*'Допущения'!$J$19*'Допущения'!$I$19,0)</f>
        <v/>
      </c>
      <c r="AB35" s="15">
        <f>SUM(D35:AA35)</f>
        <v/>
      </c>
    </row>
    <row r="36">
      <c r="A36" t="inlineStr">
        <is>
          <t>C05</t>
        </is>
      </c>
      <c r="B36" t="inlineStr">
        <is>
          <t>Rental-локеры</t>
        </is>
      </c>
      <c r="C36" t="inlineStr">
        <is>
          <t>ACTU</t>
        </is>
      </c>
      <c r="D36" s="15">
        <f>D35</f>
        <v/>
      </c>
      <c r="E36" s="15">
        <f>D36*(1-'Допущения'!$C$6)+E35</f>
        <v/>
      </c>
      <c r="F36" s="15">
        <f>E36*(1-'Допущения'!$C$6)+F35</f>
        <v/>
      </c>
      <c r="G36" s="15">
        <f>F36*(1-'Допущения'!$C$6)+G35</f>
        <v/>
      </c>
      <c r="H36" s="15">
        <f>G36*(1-'Допущения'!$C$6)+H35</f>
        <v/>
      </c>
      <c r="I36" s="15">
        <f>H36*(1-'Допущения'!$C$6)+I35</f>
        <v/>
      </c>
      <c r="J36" s="15">
        <f>I36*(1-'Допущения'!$C$6)+J35</f>
        <v/>
      </c>
      <c r="K36" s="15">
        <f>J36*(1-'Допущения'!$C$6)+K35</f>
        <v/>
      </c>
      <c r="L36" s="15">
        <f>K36*(1-'Допущения'!$C$6)+L35</f>
        <v/>
      </c>
      <c r="M36" s="15">
        <f>L36*(1-'Допущения'!$C$6)+M35</f>
        <v/>
      </c>
      <c r="N36" s="15">
        <f>M36*(1-'Допущения'!$C$6)+N35</f>
        <v/>
      </c>
      <c r="O36" s="15">
        <f>N36*(1-'Допущения'!$C$6)+O35</f>
        <v/>
      </c>
      <c r="P36" s="15">
        <f>O36*(1-'Допущения'!$C$6)+P35</f>
        <v/>
      </c>
      <c r="Q36" s="15">
        <f>P36*(1-'Допущения'!$C$6)+Q35</f>
        <v/>
      </c>
      <c r="R36" s="15">
        <f>Q36*(1-'Допущения'!$C$6)+R35</f>
        <v/>
      </c>
      <c r="S36" s="15">
        <f>R36*(1-'Допущения'!$C$6)+S35</f>
        <v/>
      </c>
      <c r="T36" s="15">
        <f>S36*(1-'Допущения'!$C$6)+T35</f>
        <v/>
      </c>
      <c r="U36" s="15">
        <f>T36*(1-'Допущения'!$C$6)+U35</f>
        <v/>
      </c>
      <c r="V36" s="15">
        <f>U36*(1-'Допущения'!$C$6)+V35</f>
        <v/>
      </c>
      <c r="W36" s="15">
        <f>V36*(1-'Допущения'!$C$6)+W35</f>
        <v/>
      </c>
      <c r="X36" s="15">
        <f>W36*(1-'Допущения'!$C$6)+X35</f>
        <v/>
      </c>
      <c r="Y36" s="15">
        <f>X36*(1-'Допущения'!$C$6)+Y35</f>
        <v/>
      </c>
      <c r="Z36" s="15">
        <f>Y36*(1-'Допущения'!$C$6)+Z35</f>
        <v/>
      </c>
      <c r="AA36" s="15">
        <f>Z36*(1-'Допущения'!$C$6)+AA35</f>
        <v/>
      </c>
      <c r="AB36" s="15">
        <f>SUM(D36:AA36)</f>
        <v/>
      </c>
    </row>
    <row r="37">
      <c r="A37" t="inlineStr">
        <is>
          <t>C05</t>
        </is>
      </c>
      <c r="B37" t="inlineStr">
        <is>
          <t>Rental-локеры</t>
        </is>
      </c>
      <c r="C37" t="inlineStr">
        <is>
          <t>HWREV</t>
        </is>
      </c>
      <c r="D37" s="15">
        <f>D35*'Допущения'!$E$19</f>
        <v/>
      </c>
      <c r="E37" s="15">
        <f>E35*'Допущения'!$E$19</f>
        <v/>
      </c>
      <c r="F37" s="15">
        <f>F35*'Допущения'!$E$19</f>
        <v/>
      </c>
      <c r="G37" s="15">
        <f>G35*'Допущения'!$E$19</f>
        <v/>
      </c>
      <c r="H37" s="15">
        <f>H35*'Допущения'!$E$19</f>
        <v/>
      </c>
      <c r="I37" s="15">
        <f>I35*'Допущения'!$E$19</f>
        <v/>
      </c>
      <c r="J37" s="15">
        <f>J35*'Допущения'!$E$19</f>
        <v/>
      </c>
      <c r="K37" s="15">
        <f>K35*'Допущения'!$E$19</f>
        <v/>
      </c>
      <c r="L37" s="15">
        <f>L35*'Допущения'!$E$19</f>
        <v/>
      </c>
      <c r="M37" s="15">
        <f>M35*'Допущения'!$E$19</f>
        <v/>
      </c>
      <c r="N37" s="15">
        <f>N35*'Допущения'!$E$19</f>
        <v/>
      </c>
      <c r="O37" s="15">
        <f>O35*'Допущения'!$E$19</f>
        <v/>
      </c>
      <c r="P37" s="15">
        <f>P35*'Допущения'!$E$19</f>
        <v/>
      </c>
      <c r="Q37" s="15">
        <f>Q35*'Допущения'!$E$19</f>
        <v/>
      </c>
      <c r="R37" s="15">
        <f>R35*'Допущения'!$E$19</f>
        <v/>
      </c>
      <c r="S37" s="15">
        <f>S35*'Допущения'!$E$19</f>
        <v/>
      </c>
      <c r="T37" s="15">
        <f>T35*'Допущения'!$E$19</f>
        <v/>
      </c>
      <c r="U37" s="15">
        <f>U35*'Допущения'!$E$19</f>
        <v/>
      </c>
      <c r="V37" s="15">
        <f>V35*'Допущения'!$E$19</f>
        <v/>
      </c>
      <c r="W37" s="15">
        <f>W35*'Допущения'!$E$19</f>
        <v/>
      </c>
      <c r="X37" s="15">
        <f>X35*'Допущения'!$E$19</f>
        <v/>
      </c>
      <c r="Y37" s="15">
        <f>Y35*'Допущения'!$E$19</f>
        <v/>
      </c>
      <c r="Z37" s="15">
        <f>Z35*'Допущения'!$E$19</f>
        <v/>
      </c>
      <c r="AA37" s="15">
        <f>AA35*'Допущения'!$E$19</f>
        <v/>
      </c>
      <c r="AB37" s="15">
        <f>SUM(D37:AA37)</f>
        <v/>
      </c>
    </row>
    <row r="38">
      <c r="A38" t="inlineStr">
        <is>
          <t>C05</t>
        </is>
      </c>
      <c r="B38" t="inlineStr">
        <is>
          <t>Rental-локеры</t>
        </is>
      </c>
      <c r="C38" t="inlineStr">
        <is>
          <t>RECREV</t>
        </is>
      </c>
      <c r="D38" s="15">
        <f>D36*'Допущения'!$F$19</f>
        <v/>
      </c>
      <c r="E38" s="15">
        <f>E36*'Допущения'!$F$19</f>
        <v/>
      </c>
      <c r="F38" s="15">
        <f>F36*'Допущения'!$F$19</f>
        <v/>
      </c>
      <c r="G38" s="15">
        <f>G36*'Допущения'!$F$19</f>
        <v/>
      </c>
      <c r="H38" s="15">
        <f>H36*'Допущения'!$F$19</f>
        <v/>
      </c>
      <c r="I38" s="15">
        <f>I36*'Допущения'!$F$19</f>
        <v/>
      </c>
      <c r="J38" s="15">
        <f>J36*'Допущения'!$F$19</f>
        <v/>
      </c>
      <c r="K38" s="15">
        <f>K36*'Допущения'!$F$19</f>
        <v/>
      </c>
      <c r="L38" s="15">
        <f>L36*'Допущения'!$F$19</f>
        <v/>
      </c>
      <c r="M38" s="15">
        <f>M36*'Допущения'!$F$19</f>
        <v/>
      </c>
      <c r="N38" s="15">
        <f>N36*'Допущения'!$F$19</f>
        <v/>
      </c>
      <c r="O38" s="15">
        <f>O36*'Допущения'!$F$19</f>
        <v/>
      </c>
      <c r="P38" s="15">
        <f>P36*'Допущения'!$F$19</f>
        <v/>
      </c>
      <c r="Q38" s="15">
        <f>Q36*'Допущения'!$F$19</f>
        <v/>
      </c>
      <c r="R38" s="15">
        <f>R36*'Допущения'!$F$19</f>
        <v/>
      </c>
      <c r="S38" s="15">
        <f>S36*'Допущения'!$F$19</f>
        <v/>
      </c>
      <c r="T38" s="15">
        <f>T36*'Допущения'!$F$19</f>
        <v/>
      </c>
      <c r="U38" s="15">
        <f>U36*'Допущения'!$F$19</f>
        <v/>
      </c>
      <c r="V38" s="15">
        <f>V36*'Допущения'!$F$19</f>
        <v/>
      </c>
      <c r="W38" s="15">
        <f>W36*'Допущения'!$F$19</f>
        <v/>
      </c>
      <c r="X38" s="15">
        <f>X36*'Допущения'!$F$19</f>
        <v/>
      </c>
      <c r="Y38" s="15">
        <f>Y36*'Допущения'!$F$19</f>
        <v/>
      </c>
      <c r="Z38" s="15">
        <f>Z36*'Допущения'!$F$19</f>
        <v/>
      </c>
      <c r="AA38" s="15">
        <f>AA36*'Допущения'!$F$19</f>
        <v/>
      </c>
      <c r="AB38" s="15">
        <f>SUM(D38:AA38)</f>
        <v/>
      </c>
    </row>
    <row r="39">
      <c r="A39" t="inlineStr">
        <is>
          <t>C05</t>
        </is>
      </c>
      <c r="B39" t="inlineStr">
        <is>
          <t>Rental-локеры</t>
        </is>
      </c>
      <c r="C39" t="inlineStr">
        <is>
          <t>TXNREV</t>
        </is>
      </c>
      <c r="D39" s="15">
        <f>D36*'Допущения'!$G$19</f>
        <v/>
      </c>
      <c r="E39" s="15">
        <f>E36*'Допущения'!$G$19</f>
        <v/>
      </c>
      <c r="F39" s="15">
        <f>F36*'Допущения'!$G$19</f>
        <v/>
      </c>
      <c r="G39" s="15">
        <f>G36*'Допущения'!$G$19</f>
        <v/>
      </c>
      <c r="H39" s="15">
        <f>H36*'Допущения'!$G$19</f>
        <v/>
      </c>
      <c r="I39" s="15">
        <f>I36*'Допущения'!$G$19</f>
        <v/>
      </c>
      <c r="J39" s="15">
        <f>J36*'Допущения'!$G$19</f>
        <v/>
      </c>
      <c r="K39" s="15">
        <f>K36*'Допущения'!$G$19</f>
        <v/>
      </c>
      <c r="L39" s="15">
        <f>L36*'Допущения'!$G$19</f>
        <v/>
      </c>
      <c r="M39" s="15">
        <f>M36*'Допущения'!$G$19</f>
        <v/>
      </c>
      <c r="N39" s="15">
        <f>N36*'Допущения'!$G$19</f>
        <v/>
      </c>
      <c r="O39" s="15">
        <f>O36*'Допущения'!$G$19</f>
        <v/>
      </c>
      <c r="P39" s="15">
        <f>P36*'Допущения'!$G$19</f>
        <v/>
      </c>
      <c r="Q39" s="15">
        <f>Q36*'Допущения'!$G$19</f>
        <v/>
      </c>
      <c r="R39" s="15">
        <f>R36*'Допущения'!$G$19</f>
        <v/>
      </c>
      <c r="S39" s="15">
        <f>S36*'Допущения'!$G$19</f>
        <v/>
      </c>
      <c r="T39" s="15">
        <f>T36*'Допущения'!$G$19</f>
        <v/>
      </c>
      <c r="U39" s="15">
        <f>U36*'Допущения'!$G$19</f>
        <v/>
      </c>
      <c r="V39" s="15">
        <f>V36*'Допущения'!$G$19</f>
        <v/>
      </c>
      <c r="W39" s="15">
        <f>W36*'Допущения'!$G$19</f>
        <v/>
      </c>
      <c r="X39" s="15">
        <f>X36*'Допущения'!$G$19</f>
        <v/>
      </c>
      <c r="Y39" s="15">
        <f>Y36*'Допущения'!$G$19</f>
        <v/>
      </c>
      <c r="Z39" s="15">
        <f>Z36*'Допущения'!$G$19</f>
        <v/>
      </c>
      <c r="AA39" s="15">
        <f>AA36*'Допущения'!$G$19</f>
        <v/>
      </c>
      <c r="AB39" s="15">
        <f>SUM(D39:AA39)</f>
        <v/>
      </c>
    </row>
    <row r="40">
      <c r="A40" t="inlineStr">
        <is>
          <t>C05</t>
        </is>
      </c>
      <c r="B40" t="inlineStr">
        <is>
          <t>Rental-локеры</t>
        </is>
      </c>
      <c r="C40" t="inlineStr">
        <is>
          <t>COGS</t>
        </is>
      </c>
      <c r="D40" s="15">
        <f>D35*('Допущения'!$C$19+'Допущения'!$D$19)</f>
        <v/>
      </c>
      <c r="E40" s="15">
        <f>E35*('Допущения'!$C$19+'Допущения'!$D$19)</f>
        <v/>
      </c>
      <c r="F40" s="15">
        <f>F35*('Допущения'!$C$19+'Допущения'!$D$19)</f>
        <v/>
      </c>
      <c r="G40" s="15">
        <f>G35*('Допущения'!$C$19+'Допущения'!$D$19)</f>
        <v/>
      </c>
      <c r="H40" s="15">
        <f>H35*('Допущения'!$C$19+'Допущения'!$D$19)</f>
        <v/>
      </c>
      <c r="I40" s="15">
        <f>I35*('Допущения'!$C$19+'Допущения'!$D$19)</f>
        <v/>
      </c>
      <c r="J40" s="15">
        <f>J35*('Допущения'!$C$19+'Допущения'!$D$19)</f>
        <v/>
      </c>
      <c r="K40" s="15">
        <f>K35*('Допущения'!$C$19+'Допущения'!$D$19)</f>
        <v/>
      </c>
      <c r="L40" s="15">
        <f>L35*('Допущения'!$C$19+'Допущения'!$D$19)</f>
        <v/>
      </c>
      <c r="M40" s="15">
        <f>M35*('Допущения'!$C$19+'Допущения'!$D$19)</f>
        <v/>
      </c>
      <c r="N40" s="15">
        <f>N35*('Допущения'!$C$19+'Допущения'!$D$19)</f>
        <v/>
      </c>
      <c r="O40" s="15">
        <f>O35*('Допущения'!$C$19+'Допущения'!$D$19)</f>
        <v/>
      </c>
      <c r="P40" s="15">
        <f>P35*('Допущения'!$C$19+'Допущения'!$D$19)</f>
        <v/>
      </c>
      <c r="Q40" s="15">
        <f>Q35*('Допущения'!$C$19+'Допущения'!$D$19)</f>
        <v/>
      </c>
      <c r="R40" s="15">
        <f>R35*('Допущения'!$C$19+'Допущения'!$D$19)</f>
        <v/>
      </c>
      <c r="S40" s="15">
        <f>S35*('Допущения'!$C$19+'Допущения'!$D$19)</f>
        <v/>
      </c>
      <c r="T40" s="15">
        <f>T35*('Допущения'!$C$19+'Допущения'!$D$19)</f>
        <v/>
      </c>
      <c r="U40" s="15">
        <f>U35*('Допущения'!$C$19+'Допущения'!$D$19)</f>
        <v/>
      </c>
      <c r="V40" s="15">
        <f>V35*('Допущения'!$C$19+'Допущения'!$D$19)</f>
        <v/>
      </c>
      <c r="W40" s="15">
        <f>W35*('Допущения'!$C$19+'Допущения'!$D$19)</f>
        <v/>
      </c>
      <c r="X40" s="15">
        <f>X35*('Допущения'!$C$19+'Допущения'!$D$19)</f>
        <v/>
      </c>
      <c r="Y40" s="15">
        <f>Y35*('Допущения'!$C$19+'Допущения'!$D$19)</f>
        <v/>
      </c>
      <c r="Z40" s="15">
        <f>Z35*('Допущения'!$C$19+'Допущения'!$D$19)</f>
        <v/>
      </c>
      <c r="AA40" s="15">
        <f>AA35*('Допущения'!$C$19+'Допущения'!$D$19)</f>
        <v/>
      </c>
      <c r="AB40" s="15">
        <f>SUM(D40:AA40)</f>
        <v/>
      </c>
    </row>
    <row r="41">
      <c r="A41" t="inlineStr">
        <is>
          <t>C05</t>
        </is>
      </c>
      <c r="B41" t="inlineStr">
        <is>
          <t>Rental-локеры</t>
        </is>
      </c>
      <c r="C41" t="inlineStr">
        <is>
          <t>VARC</t>
        </is>
      </c>
      <c r="D41" s="15">
        <f>D36*'Допущения'!$H$19</f>
        <v/>
      </c>
      <c r="E41" s="15">
        <f>E36*'Допущения'!$H$19</f>
        <v/>
      </c>
      <c r="F41" s="15">
        <f>F36*'Допущения'!$H$19</f>
        <v/>
      </c>
      <c r="G41" s="15">
        <f>G36*'Допущения'!$H$19</f>
        <v/>
      </c>
      <c r="H41" s="15">
        <f>H36*'Допущения'!$H$19</f>
        <v/>
      </c>
      <c r="I41" s="15">
        <f>I36*'Допущения'!$H$19</f>
        <v/>
      </c>
      <c r="J41" s="15">
        <f>J36*'Допущения'!$H$19</f>
        <v/>
      </c>
      <c r="K41" s="15">
        <f>K36*'Допущения'!$H$19</f>
        <v/>
      </c>
      <c r="L41" s="15">
        <f>L36*'Допущения'!$H$19</f>
        <v/>
      </c>
      <c r="M41" s="15">
        <f>M36*'Допущения'!$H$19</f>
        <v/>
      </c>
      <c r="N41" s="15">
        <f>N36*'Допущения'!$H$19</f>
        <v/>
      </c>
      <c r="O41" s="15">
        <f>O36*'Допущения'!$H$19</f>
        <v/>
      </c>
      <c r="P41" s="15">
        <f>P36*'Допущения'!$H$19</f>
        <v/>
      </c>
      <c r="Q41" s="15">
        <f>Q36*'Допущения'!$H$19</f>
        <v/>
      </c>
      <c r="R41" s="15">
        <f>R36*'Допущения'!$H$19</f>
        <v/>
      </c>
      <c r="S41" s="15">
        <f>S36*'Допущения'!$H$19</f>
        <v/>
      </c>
      <c r="T41" s="15">
        <f>T36*'Допущения'!$H$19</f>
        <v/>
      </c>
      <c r="U41" s="15">
        <f>U36*'Допущения'!$H$19</f>
        <v/>
      </c>
      <c r="V41" s="15">
        <f>V36*'Допущения'!$H$19</f>
        <v/>
      </c>
      <c r="W41" s="15">
        <f>W36*'Допущения'!$H$19</f>
        <v/>
      </c>
      <c r="X41" s="15">
        <f>X36*'Допущения'!$H$19</f>
        <v/>
      </c>
      <c r="Y41" s="15">
        <f>Y36*'Допущения'!$H$19</f>
        <v/>
      </c>
      <c r="Z41" s="15">
        <f>Z36*'Допущения'!$H$19</f>
        <v/>
      </c>
      <c r="AA41" s="15">
        <f>AA36*'Допущения'!$H$19</f>
        <v/>
      </c>
      <c r="AB41" s="15">
        <f>SUM(D41:AA41)</f>
        <v/>
      </c>
    </row>
    <row r="42">
      <c r="A42" t="inlineStr">
        <is>
          <t>C06</t>
        </is>
      </c>
      <c r="B42" t="inlineStr">
        <is>
          <t>Локеры для багажа</t>
        </is>
      </c>
      <c r="C42" t="inlineStr">
        <is>
          <t>NEWU</t>
        </is>
      </c>
      <c r="D42" s="15">
        <f>IF(D$3&gt;='Допущения'!$K$20,D$4*'Допущения'!$J$20*'Допущения'!$I$20,0)</f>
        <v/>
      </c>
      <c r="E42" s="15">
        <f>IF(E$3&gt;='Допущения'!$K$20,E$4*'Допущения'!$J$20*'Допущения'!$I$20,0)</f>
        <v/>
      </c>
      <c r="F42" s="15">
        <f>IF(F$3&gt;='Допущения'!$K$20,F$4*'Допущения'!$J$20*'Допущения'!$I$20,0)</f>
        <v/>
      </c>
      <c r="G42" s="15">
        <f>IF(G$3&gt;='Допущения'!$K$20,G$4*'Допущения'!$J$20*'Допущения'!$I$20,0)</f>
        <v/>
      </c>
      <c r="H42" s="15">
        <f>IF(H$3&gt;='Допущения'!$K$20,H$4*'Допущения'!$J$20*'Допущения'!$I$20,0)</f>
        <v/>
      </c>
      <c r="I42" s="15">
        <f>IF(I$3&gt;='Допущения'!$K$20,I$4*'Допущения'!$J$20*'Допущения'!$I$20,0)</f>
        <v/>
      </c>
      <c r="J42" s="15">
        <f>IF(J$3&gt;='Допущения'!$K$20,J$4*'Допущения'!$J$20*'Допущения'!$I$20,0)</f>
        <v/>
      </c>
      <c r="K42" s="15">
        <f>IF(K$3&gt;='Допущения'!$K$20,K$4*'Допущения'!$J$20*'Допущения'!$I$20,0)</f>
        <v/>
      </c>
      <c r="L42" s="15">
        <f>IF(L$3&gt;='Допущения'!$K$20,L$4*'Допущения'!$J$20*'Допущения'!$I$20,0)</f>
        <v/>
      </c>
      <c r="M42" s="15">
        <f>IF(M$3&gt;='Допущения'!$K$20,M$4*'Допущения'!$J$20*'Допущения'!$I$20,0)</f>
        <v/>
      </c>
      <c r="N42" s="15">
        <f>IF(N$3&gt;='Допущения'!$K$20,N$4*'Допущения'!$J$20*'Допущения'!$I$20,0)</f>
        <v/>
      </c>
      <c r="O42" s="15">
        <f>IF(O$3&gt;='Допущения'!$K$20,O$4*'Допущения'!$J$20*'Допущения'!$I$20,0)</f>
        <v/>
      </c>
      <c r="P42" s="15">
        <f>IF(P$3&gt;='Допущения'!$K$20,P$4*'Допущения'!$J$20*'Допущения'!$I$20,0)</f>
        <v/>
      </c>
      <c r="Q42" s="15">
        <f>IF(Q$3&gt;='Допущения'!$K$20,Q$4*'Допущения'!$J$20*'Допущения'!$I$20,0)</f>
        <v/>
      </c>
      <c r="R42" s="15">
        <f>IF(R$3&gt;='Допущения'!$K$20,R$4*'Допущения'!$J$20*'Допущения'!$I$20,0)</f>
        <v/>
      </c>
      <c r="S42" s="15">
        <f>IF(S$3&gt;='Допущения'!$K$20,S$4*'Допущения'!$J$20*'Допущения'!$I$20,0)</f>
        <v/>
      </c>
      <c r="T42" s="15">
        <f>IF(T$3&gt;='Допущения'!$K$20,T$4*'Допущения'!$J$20*'Допущения'!$I$20,0)</f>
        <v/>
      </c>
      <c r="U42" s="15">
        <f>IF(U$3&gt;='Допущения'!$K$20,U$4*'Допущения'!$J$20*'Допущения'!$I$20,0)</f>
        <v/>
      </c>
      <c r="V42" s="15">
        <f>IF(V$3&gt;='Допущения'!$K$20,V$4*'Допущения'!$J$20*'Допущения'!$I$20,0)</f>
        <v/>
      </c>
      <c r="W42" s="15">
        <f>IF(W$3&gt;='Допущения'!$K$20,W$4*'Допущения'!$J$20*'Допущения'!$I$20,0)</f>
        <v/>
      </c>
      <c r="X42" s="15">
        <f>IF(X$3&gt;='Допущения'!$K$20,X$4*'Допущения'!$J$20*'Допущения'!$I$20,0)</f>
        <v/>
      </c>
      <c r="Y42" s="15">
        <f>IF(Y$3&gt;='Допущения'!$K$20,Y$4*'Допущения'!$J$20*'Допущения'!$I$20,0)</f>
        <v/>
      </c>
      <c r="Z42" s="15">
        <f>IF(Z$3&gt;='Допущения'!$K$20,Z$4*'Допущения'!$J$20*'Допущения'!$I$20,0)</f>
        <v/>
      </c>
      <c r="AA42" s="15">
        <f>IF(AA$3&gt;='Допущения'!$K$20,AA$4*'Допущения'!$J$20*'Допущения'!$I$20,0)</f>
        <v/>
      </c>
      <c r="AB42" s="15">
        <f>SUM(D42:AA42)</f>
        <v/>
      </c>
    </row>
    <row r="43">
      <c r="A43" t="inlineStr">
        <is>
          <t>C06</t>
        </is>
      </c>
      <c r="B43" t="inlineStr">
        <is>
          <t>Локеры для багажа</t>
        </is>
      </c>
      <c r="C43" t="inlineStr">
        <is>
          <t>ACTU</t>
        </is>
      </c>
      <c r="D43" s="15">
        <f>D42</f>
        <v/>
      </c>
      <c r="E43" s="15">
        <f>D43*(1-'Допущения'!$C$6)+E42</f>
        <v/>
      </c>
      <c r="F43" s="15">
        <f>E43*(1-'Допущения'!$C$6)+F42</f>
        <v/>
      </c>
      <c r="G43" s="15">
        <f>F43*(1-'Допущения'!$C$6)+G42</f>
        <v/>
      </c>
      <c r="H43" s="15">
        <f>G43*(1-'Допущения'!$C$6)+H42</f>
        <v/>
      </c>
      <c r="I43" s="15">
        <f>H43*(1-'Допущения'!$C$6)+I42</f>
        <v/>
      </c>
      <c r="J43" s="15">
        <f>I43*(1-'Допущения'!$C$6)+J42</f>
        <v/>
      </c>
      <c r="K43" s="15">
        <f>J43*(1-'Допущения'!$C$6)+K42</f>
        <v/>
      </c>
      <c r="L43" s="15">
        <f>K43*(1-'Допущения'!$C$6)+L42</f>
        <v/>
      </c>
      <c r="M43" s="15">
        <f>L43*(1-'Допущения'!$C$6)+M42</f>
        <v/>
      </c>
      <c r="N43" s="15">
        <f>M43*(1-'Допущения'!$C$6)+N42</f>
        <v/>
      </c>
      <c r="O43" s="15">
        <f>N43*(1-'Допущения'!$C$6)+O42</f>
        <v/>
      </c>
      <c r="P43" s="15">
        <f>O43*(1-'Допущения'!$C$6)+P42</f>
        <v/>
      </c>
      <c r="Q43" s="15">
        <f>P43*(1-'Допущения'!$C$6)+Q42</f>
        <v/>
      </c>
      <c r="R43" s="15">
        <f>Q43*(1-'Допущения'!$C$6)+R42</f>
        <v/>
      </c>
      <c r="S43" s="15">
        <f>R43*(1-'Допущения'!$C$6)+S42</f>
        <v/>
      </c>
      <c r="T43" s="15">
        <f>S43*(1-'Допущения'!$C$6)+T42</f>
        <v/>
      </c>
      <c r="U43" s="15">
        <f>T43*(1-'Допущения'!$C$6)+U42</f>
        <v/>
      </c>
      <c r="V43" s="15">
        <f>U43*(1-'Допущения'!$C$6)+V42</f>
        <v/>
      </c>
      <c r="W43" s="15">
        <f>V43*(1-'Допущения'!$C$6)+W42</f>
        <v/>
      </c>
      <c r="X43" s="15">
        <f>W43*(1-'Допущения'!$C$6)+X42</f>
        <v/>
      </c>
      <c r="Y43" s="15">
        <f>X43*(1-'Допущения'!$C$6)+Y42</f>
        <v/>
      </c>
      <c r="Z43" s="15">
        <f>Y43*(1-'Допущения'!$C$6)+Z42</f>
        <v/>
      </c>
      <c r="AA43" s="15">
        <f>Z43*(1-'Допущения'!$C$6)+AA42</f>
        <v/>
      </c>
      <c r="AB43" s="15">
        <f>SUM(D43:AA43)</f>
        <v/>
      </c>
    </row>
    <row r="44">
      <c r="A44" t="inlineStr">
        <is>
          <t>C06</t>
        </is>
      </c>
      <c r="B44" t="inlineStr">
        <is>
          <t>Локеры для багажа</t>
        </is>
      </c>
      <c r="C44" t="inlineStr">
        <is>
          <t>HWREV</t>
        </is>
      </c>
      <c r="D44" s="15">
        <f>D42*'Допущения'!$E$20</f>
        <v/>
      </c>
      <c r="E44" s="15">
        <f>E42*'Допущения'!$E$20</f>
        <v/>
      </c>
      <c r="F44" s="15">
        <f>F42*'Допущения'!$E$20</f>
        <v/>
      </c>
      <c r="G44" s="15">
        <f>G42*'Допущения'!$E$20</f>
        <v/>
      </c>
      <c r="H44" s="15">
        <f>H42*'Допущения'!$E$20</f>
        <v/>
      </c>
      <c r="I44" s="15">
        <f>I42*'Допущения'!$E$20</f>
        <v/>
      </c>
      <c r="J44" s="15">
        <f>J42*'Допущения'!$E$20</f>
        <v/>
      </c>
      <c r="K44" s="15">
        <f>K42*'Допущения'!$E$20</f>
        <v/>
      </c>
      <c r="L44" s="15">
        <f>L42*'Допущения'!$E$20</f>
        <v/>
      </c>
      <c r="M44" s="15">
        <f>M42*'Допущения'!$E$20</f>
        <v/>
      </c>
      <c r="N44" s="15">
        <f>N42*'Допущения'!$E$20</f>
        <v/>
      </c>
      <c r="O44" s="15">
        <f>O42*'Допущения'!$E$20</f>
        <v/>
      </c>
      <c r="P44" s="15">
        <f>P42*'Допущения'!$E$20</f>
        <v/>
      </c>
      <c r="Q44" s="15">
        <f>Q42*'Допущения'!$E$20</f>
        <v/>
      </c>
      <c r="R44" s="15">
        <f>R42*'Допущения'!$E$20</f>
        <v/>
      </c>
      <c r="S44" s="15">
        <f>S42*'Допущения'!$E$20</f>
        <v/>
      </c>
      <c r="T44" s="15">
        <f>T42*'Допущения'!$E$20</f>
        <v/>
      </c>
      <c r="U44" s="15">
        <f>U42*'Допущения'!$E$20</f>
        <v/>
      </c>
      <c r="V44" s="15">
        <f>V42*'Допущения'!$E$20</f>
        <v/>
      </c>
      <c r="W44" s="15">
        <f>W42*'Допущения'!$E$20</f>
        <v/>
      </c>
      <c r="X44" s="15">
        <f>X42*'Допущения'!$E$20</f>
        <v/>
      </c>
      <c r="Y44" s="15">
        <f>Y42*'Допущения'!$E$20</f>
        <v/>
      </c>
      <c r="Z44" s="15">
        <f>Z42*'Допущения'!$E$20</f>
        <v/>
      </c>
      <c r="AA44" s="15">
        <f>AA42*'Допущения'!$E$20</f>
        <v/>
      </c>
      <c r="AB44" s="15">
        <f>SUM(D44:AA44)</f>
        <v/>
      </c>
    </row>
    <row r="45">
      <c r="A45" t="inlineStr">
        <is>
          <t>C06</t>
        </is>
      </c>
      <c r="B45" t="inlineStr">
        <is>
          <t>Локеры для багажа</t>
        </is>
      </c>
      <c r="C45" t="inlineStr">
        <is>
          <t>RECREV</t>
        </is>
      </c>
      <c r="D45" s="15">
        <f>D43*'Допущения'!$F$20</f>
        <v/>
      </c>
      <c r="E45" s="15">
        <f>E43*'Допущения'!$F$20</f>
        <v/>
      </c>
      <c r="F45" s="15">
        <f>F43*'Допущения'!$F$20</f>
        <v/>
      </c>
      <c r="G45" s="15">
        <f>G43*'Допущения'!$F$20</f>
        <v/>
      </c>
      <c r="H45" s="15">
        <f>H43*'Допущения'!$F$20</f>
        <v/>
      </c>
      <c r="I45" s="15">
        <f>I43*'Допущения'!$F$20</f>
        <v/>
      </c>
      <c r="J45" s="15">
        <f>J43*'Допущения'!$F$20</f>
        <v/>
      </c>
      <c r="K45" s="15">
        <f>K43*'Допущения'!$F$20</f>
        <v/>
      </c>
      <c r="L45" s="15">
        <f>L43*'Допущения'!$F$20</f>
        <v/>
      </c>
      <c r="M45" s="15">
        <f>M43*'Допущения'!$F$20</f>
        <v/>
      </c>
      <c r="N45" s="15">
        <f>N43*'Допущения'!$F$20</f>
        <v/>
      </c>
      <c r="O45" s="15">
        <f>O43*'Допущения'!$F$20</f>
        <v/>
      </c>
      <c r="P45" s="15">
        <f>P43*'Допущения'!$F$20</f>
        <v/>
      </c>
      <c r="Q45" s="15">
        <f>Q43*'Допущения'!$F$20</f>
        <v/>
      </c>
      <c r="R45" s="15">
        <f>R43*'Допущения'!$F$20</f>
        <v/>
      </c>
      <c r="S45" s="15">
        <f>S43*'Допущения'!$F$20</f>
        <v/>
      </c>
      <c r="T45" s="15">
        <f>T43*'Допущения'!$F$20</f>
        <v/>
      </c>
      <c r="U45" s="15">
        <f>U43*'Допущения'!$F$20</f>
        <v/>
      </c>
      <c r="V45" s="15">
        <f>V43*'Допущения'!$F$20</f>
        <v/>
      </c>
      <c r="W45" s="15">
        <f>W43*'Допущения'!$F$20</f>
        <v/>
      </c>
      <c r="X45" s="15">
        <f>X43*'Допущения'!$F$20</f>
        <v/>
      </c>
      <c r="Y45" s="15">
        <f>Y43*'Допущения'!$F$20</f>
        <v/>
      </c>
      <c r="Z45" s="15">
        <f>Z43*'Допущения'!$F$20</f>
        <v/>
      </c>
      <c r="AA45" s="15">
        <f>AA43*'Допущения'!$F$20</f>
        <v/>
      </c>
      <c r="AB45" s="15">
        <f>SUM(D45:AA45)</f>
        <v/>
      </c>
    </row>
    <row r="46">
      <c r="A46" t="inlineStr">
        <is>
          <t>C06</t>
        </is>
      </c>
      <c r="B46" t="inlineStr">
        <is>
          <t>Локеры для багажа</t>
        </is>
      </c>
      <c r="C46" t="inlineStr">
        <is>
          <t>TXNREV</t>
        </is>
      </c>
      <c r="D46" s="15">
        <f>D43*'Допущения'!$G$20</f>
        <v/>
      </c>
      <c r="E46" s="15">
        <f>E43*'Допущения'!$G$20</f>
        <v/>
      </c>
      <c r="F46" s="15">
        <f>F43*'Допущения'!$G$20</f>
        <v/>
      </c>
      <c r="G46" s="15">
        <f>G43*'Допущения'!$G$20</f>
        <v/>
      </c>
      <c r="H46" s="15">
        <f>H43*'Допущения'!$G$20</f>
        <v/>
      </c>
      <c r="I46" s="15">
        <f>I43*'Допущения'!$G$20</f>
        <v/>
      </c>
      <c r="J46" s="15">
        <f>J43*'Допущения'!$G$20</f>
        <v/>
      </c>
      <c r="K46" s="15">
        <f>K43*'Допущения'!$G$20</f>
        <v/>
      </c>
      <c r="L46" s="15">
        <f>L43*'Допущения'!$G$20</f>
        <v/>
      </c>
      <c r="M46" s="15">
        <f>M43*'Допущения'!$G$20</f>
        <v/>
      </c>
      <c r="N46" s="15">
        <f>N43*'Допущения'!$G$20</f>
        <v/>
      </c>
      <c r="O46" s="15">
        <f>O43*'Допущения'!$G$20</f>
        <v/>
      </c>
      <c r="P46" s="15">
        <f>P43*'Допущения'!$G$20</f>
        <v/>
      </c>
      <c r="Q46" s="15">
        <f>Q43*'Допущения'!$G$20</f>
        <v/>
      </c>
      <c r="R46" s="15">
        <f>R43*'Допущения'!$G$20</f>
        <v/>
      </c>
      <c r="S46" s="15">
        <f>S43*'Допущения'!$G$20</f>
        <v/>
      </c>
      <c r="T46" s="15">
        <f>T43*'Допущения'!$G$20</f>
        <v/>
      </c>
      <c r="U46" s="15">
        <f>U43*'Допущения'!$G$20</f>
        <v/>
      </c>
      <c r="V46" s="15">
        <f>V43*'Допущения'!$G$20</f>
        <v/>
      </c>
      <c r="W46" s="15">
        <f>W43*'Допущения'!$G$20</f>
        <v/>
      </c>
      <c r="X46" s="15">
        <f>X43*'Допущения'!$G$20</f>
        <v/>
      </c>
      <c r="Y46" s="15">
        <f>Y43*'Допущения'!$G$20</f>
        <v/>
      </c>
      <c r="Z46" s="15">
        <f>Z43*'Допущения'!$G$20</f>
        <v/>
      </c>
      <c r="AA46" s="15">
        <f>AA43*'Допущения'!$G$20</f>
        <v/>
      </c>
      <c r="AB46" s="15">
        <f>SUM(D46:AA46)</f>
        <v/>
      </c>
    </row>
    <row r="47">
      <c r="A47" t="inlineStr">
        <is>
          <t>C06</t>
        </is>
      </c>
      <c r="B47" t="inlineStr">
        <is>
          <t>Локеры для багажа</t>
        </is>
      </c>
      <c r="C47" t="inlineStr">
        <is>
          <t>COGS</t>
        </is>
      </c>
      <c r="D47" s="15">
        <f>D42*('Допущения'!$C$20+'Допущения'!$D$20)</f>
        <v/>
      </c>
      <c r="E47" s="15">
        <f>E42*('Допущения'!$C$20+'Допущения'!$D$20)</f>
        <v/>
      </c>
      <c r="F47" s="15">
        <f>F42*('Допущения'!$C$20+'Допущения'!$D$20)</f>
        <v/>
      </c>
      <c r="G47" s="15">
        <f>G42*('Допущения'!$C$20+'Допущения'!$D$20)</f>
        <v/>
      </c>
      <c r="H47" s="15">
        <f>H42*('Допущения'!$C$20+'Допущения'!$D$20)</f>
        <v/>
      </c>
      <c r="I47" s="15">
        <f>I42*('Допущения'!$C$20+'Допущения'!$D$20)</f>
        <v/>
      </c>
      <c r="J47" s="15">
        <f>J42*('Допущения'!$C$20+'Допущения'!$D$20)</f>
        <v/>
      </c>
      <c r="K47" s="15">
        <f>K42*('Допущения'!$C$20+'Допущения'!$D$20)</f>
        <v/>
      </c>
      <c r="L47" s="15">
        <f>L42*('Допущения'!$C$20+'Допущения'!$D$20)</f>
        <v/>
      </c>
      <c r="M47" s="15">
        <f>M42*('Допущения'!$C$20+'Допущения'!$D$20)</f>
        <v/>
      </c>
      <c r="N47" s="15">
        <f>N42*('Допущения'!$C$20+'Допущения'!$D$20)</f>
        <v/>
      </c>
      <c r="O47" s="15">
        <f>O42*('Допущения'!$C$20+'Допущения'!$D$20)</f>
        <v/>
      </c>
      <c r="P47" s="15">
        <f>P42*('Допущения'!$C$20+'Допущения'!$D$20)</f>
        <v/>
      </c>
      <c r="Q47" s="15">
        <f>Q42*('Допущения'!$C$20+'Допущения'!$D$20)</f>
        <v/>
      </c>
      <c r="R47" s="15">
        <f>R42*('Допущения'!$C$20+'Допущения'!$D$20)</f>
        <v/>
      </c>
      <c r="S47" s="15">
        <f>S42*('Допущения'!$C$20+'Допущения'!$D$20)</f>
        <v/>
      </c>
      <c r="T47" s="15">
        <f>T42*('Допущения'!$C$20+'Допущения'!$D$20)</f>
        <v/>
      </c>
      <c r="U47" s="15">
        <f>U42*('Допущения'!$C$20+'Допущения'!$D$20)</f>
        <v/>
      </c>
      <c r="V47" s="15">
        <f>V42*('Допущения'!$C$20+'Допущения'!$D$20)</f>
        <v/>
      </c>
      <c r="W47" s="15">
        <f>W42*('Допущения'!$C$20+'Допущения'!$D$20)</f>
        <v/>
      </c>
      <c r="X47" s="15">
        <f>X42*('Допущения'!$C$20+'Допущения'!$D$20)</f>
        <v/>
      </c>
      <c r="Y47" s="15">
        <f>Y42*('Допущения'!$C$20+'Допущения'!$D$20)</f>
        <v/>
      </c>
      <c r="Z47" s="15">
        <f>Z42*('Допущения'!$C$20+'Допущения'!$D$20)</f>
        <v/>
      </c>
      <c r="AA47" s="15">
        <f>AA42*('Допущения'!$C$20+'Допущения'!$D$20)</f>
        <v/>
      </c>
      <c r="AB47" s="15">
        <f>SUM(D47:AA47)</f>
        <v/>
      </c>
    </row>
    <row r="48">
      <c r="A48" t="inlineStr">
        <is>
          <t>C06</t>
        </is>
      </c>
      <c r="B48" t="inlineStr">
        <is>
          <t>Локеры для багажа</t>
        </is>
      </c>
      <c r="C48" t="inlineStr">
        <is>
          <t>VARC</t>
        </is>
      </c>
      <c r="D48" s="15">
        <f>D43*'Допущения'!$H$20</f>
        <v/>
      </c>
      <c r="E48" s="15">
        <f>E43*'Допущения'!$H$20</f>
        <v/>
      </c>
      <c r="F48" s="15">
        <f>F43*'Допущения'!$H$20</f>
        <v/>
      </c>
      <c r="G48" s="15">
        <f>G43*'Допущения'!$H$20</f>
        <v/>
      </c>
      <c r="H48" s="15">
        <f>H43*'Допущения'!$H$20</f>
        <v/>
      </c>
      <c r="I48" s="15">
        <f>I43*'Допущения'!$H$20</f>
        <v/>
      </c>
      <c r="J48" s="15">
        <f>J43*'Допущения'!$H$20</f>
        <v/>
      </c>
      <c r="K48" s="15">
        <f>K43*'Допущения'!$H$20</f>
        <v/>
      </c>
      <c r="L48" s="15">
        <f>L43*'Допущения'!$H$20</f>
        <v/>
      </c>
      <c r="M48" s="15">
        <f>M43*'Допущения'!$H$20</f>
        <v/>
      </c>
      <c r="N48" s="15">
        <f>N43*'Допущения'!$H$20</f>
        <v/>
      </c>
      <c r="O48" s="15">
        <f>O43*'Допущения'!$H$20</f>
        <v/>
      </c>
      <c r="P48" s="15">
        <f>P43*'Допущения'!$H$20</f>
        <v/>
      </c>
      <c r="Q48" s="15">
        <f>Q43*'Допущения'!$H$20</f>
        <v/>
      </c>
      <c r="R48" s="15">
        <f>R43*'Допущения'!$H$20</f>
        <v/>
      </c>
      <c r="S48" s="15">
        <f>S43*'Допущения'!$H$20</f>
        <v/>
      </c>
      <c r="T48" s="15">
        <f>T43*'Допущения'!$H$20</f>
        <v/>
      </c>
      <c r="U48" s="15">
        <f>U43*'Допущения'!$H$20</f>
        <v/>
      </c>
      <c r="V48" s="15">
        <f>V43*'Допущения'!$H$20</f>
        <v/>
      </c>
      <c r="W48" s="15">
        <f>W43*'Допущения'!$H$20</f>
        <v/>
      </c>
      <c r="X48" s="15">
        <f>X43*'Допущения'!$H$20</f>
        <v/>
      </c>
      <c r="Y48" s="15">
        <f>Y43*'Допущения'!$H$20</f>
        <v/>
      </c>
      <c r="Z48" s="15">
        <f>Z43*'Допущения'!$H$20</f>
        <v/>
      </c>
      <c r="AA48" s="15">
        <f>AA43*'Допущения'!$H$20</f>
        <v/>
      </c>
      <c r="AB48" s="15">
        <f>SUM(D48:AA48)</f>
        <v/>
      </c>
    </row>
    <row r="49">
      <c r="A49" t="inlineStr">
        <is>
          <t>C07</t>
        </is>
      </c>
      <c r="B49" t="inlineStr">
        <is>
          <t>Аренда power bank</t>
        </is>
      </c>
      <c r="C49" t="inlineStr">
        <is>
          <t>NEWU</t>
        </is>
      </c>
      <c r="D49" s="15">
        <f>IF(D$3&gt;='Допущения'!$K$21,D$4*'Допущения'!$J$21*'Допущения'!$I$21,0)</f>
        <v/>
      </c>
      <c r="E49" s="15">
        <f>IF(E$3&gt;='Допущения'!$K$21,E$4*'Допущения'!$J$21*'Допущения'!$I$21,0)</f>
        <v/>
      </c>
      <c r="F49" s="15">
        <f>IF(F$3&gt;='Допущения'!$K$21,F$4*'Допущения'!$J$21*'Допущения'!$I$21,0)</f>
        <v/>
      </c>
      <c r="G49" s="15">
        <f>IF(G$3&gt;='Допущения'!$K$21,G$4*'Допущения'!$J$21*'Допущения'!$I$21,0)</f>
        <v/>
      </c>
      <c r="H49" s="15">
        <f>IF(H$3&gt;='Допущения'!$K$21,H$4*'Допущения'!$J$21*'Допущения'!$I$21,0)</f>
        <v/>
      </c>
      <c r="I49" s="15">
        <f>IF(I$3&gt;='Допущения'!$K$21,I$4*'Допущения'!$J$21*'Допущения'!$I$21,0)</f>
        <v/>
      </c>
      <c r="J49" s="15">
        <f>IF(J$3&gt;='Допущения'!$K$21,J$4*'Допущения'!$J$21*'Допущения'!$I$21,0)</f>
        <v/>
      </c>
      <c r="K49" s="15">
        <f>IF(K$3&gt;='Допущения'!$K$21,K$4*'Допущения'!$J$21*'Допущения'!$I$21,0)</f>
        <v/>
      </c>
      <c r="L49" s="15">
        <f>IF(L$3&gt;='Допущения'!$K$21,L$4*'Допущения'!$J$21*'Допущения'!$I$21,0)</f>
        <v/>
      </c>
      <c r="M49" s="15">
        <f>IF(M$3&gt;='Допущения'!$K$21,M$4*'Допущения'!$J$21*'Допущения'!$I$21,0)</f>
        <v/>
      </c>
      <c r="N49" s="15">
        <f>IF(N$3&gt;='Допущения'!$K$21,N$4*'Допущения'!$J$21*'Допущения'!$I$21,0)</f>
        <v/>
      </c>
      <c r="O49" s="15">
        <f>IF(O$3&gt;='Допущения'!$K$21,O$4*'Допущения'!$J$21*'Допущения'!$I$21,0)</f>
        <v/>
      </c>
      <c r="P49" s="15">
        <f>IF(P$3&gt;='Допущения'!$K$21,P$4*'Допущения'!$J$21*'Допущения'!$I$21,0)</f>
        <v/>
      </c>
      <c r="Q49" s="15">
        <f>IF(Q$3&gt;='Допущения'!$K$21,Q$4*'Допущения'!$J$21*'Допущения'!$I$21,0)</f>
        <v/>
      </c>
      <c r="R49" s="15">
        <f>IF(R$3&gt;='Допущения'!$K$21,R$4*'Допущения'!$J$21*'Допущения'!$I$21,0)</f>
        <v/>
      </c>
      <c r="S49" s="15">
        <f>IF(S$3&gt;='Допущения'!$K$21,S$4*'Допущения'!$J$21*'Допущения'!$I$21,0)</f>
        <v/>
      </c>
      <c r="T49" s="15">
        <f>IF(T$3&gt;='Допущения'!$K$21,T$4*'Допущения'!$J$21*'Допущения'!$I$21,0)</f>
        <v/>
      </c>
      <c r="U49" s="15">
        <f>IF(U$3&gt;='Допущения'!$K$21,U$4*'Допущения'!$J$21*'Допущения'!$I$21,0)</f>
        <v/>
      </c>
      <c r="V49" s="15">
        <f>IF(V$3&gt;='Допущения'!$K$21,V$4*'Допущения'!$J$21*'Допущения'!$I$21,0)</f>
        <v/>
      </c>
      <c r="W49" s="15">
        <f>IF(W$3&gt;='Допущения'!$K$21,W$4*'Допущения'!$J$21*'Допущения'!$I$21,0)</f>
        <v/>
      </c>
      <c r="X49" s="15">
        <f>IF(X$3&gt;='Допущения'!$K$21,X$4*'Допущения'!$J$21*'Допущения'!$I$21,0)</f>
        <v/>
      </c>
      <c r="Y49" s="15">
        <f>IF(Y$3&gt;='Допущения'!$K$21,Y$4*'Допущения'!$J$21*'Допущения'!$I$21,0)</f>
        <v/>
      </c>
      <c r="Z49" s="15">
        <f>IF(Z$3&gt;='Допущения'!$K$21,Z$4*'Допущения'!$J$21*'Допущения'!$I$21,0)</f>
        <v/>
      </c>
      <c r="AA49" s="15">
        <f>IF(AA$3&gt;='Допущения'!$K$21,AA$4*'Допущения'!$J$21*'Допущения'!$I$21,0)</f>
        <v/>
      </c>
      <c r="AB49" s="15">
        <f>SUM(D49:AA49)</f>
        <v/>
      </c>
    </row>
    <row r="50">
      <c r="A50" t="inlineStr">
        <is>
          <t>C07</t>
        </is>
      </c>
      <c r="B50" t="inlineStr">
        <is>
          <t>Аренда power bank</t>
        </is>
      </c>
      <c r="C50" t="inlineStr">
        <is>
          <t>ACTU</t>
        </is>
      </c>
      <c r="D50" s="15">
        <f>D49</f>
        <v/>
      </c>
      <c r="E50" s="15">
        <f>D50*(1-'Допущения'!$C$6)+E49</f>
        <v/>
      </c>
      <c r="F50" s="15">
        <f>E50*(1-'Допущения'!$C$6)+F49</f>
        <v/>
      </c>
      <c r="G50" s="15">
        <f>F50*(1-'Допущения'!$C$6)+G49</f>
        <v/>
      </c>
      <c r="H50" s="15">
        <f>G50*(1-'Допущения'!$C$6)+H49</f>
        <v/>
      </c>
      <c r="I50" s="15">
        <f>H50*(1-'Допущения'!$C$6)+I49</f>
        <v/>
      </c>
      <c r="J50" s="15">
        <f>I50*(1-'Допущения'!$C$6)+J49</f>
        <v/>
      </c>
      <c r="K50" s="15">
        <f>J50*(1-'Допущения'!$C$6)+K49</f>
        <v/>
      </c>
      <c r="L50" s="15">
        <f>K50*(1-'Допущения'!$C$6)+L49</f>
        <v/>
      </c>
      <c r="M50" s="15">
        <f>L50*(1-'Допущения'!$C$6)+M49</f>
        <v/>
      </c>
      <c r="N50" s="15">
        <f>M50*(1-'Допущения'!$C$6)+N49</f>
        <v/>
      </c>
      <c r="O50" s="15">
        <f>N50*(1-'Допущения'!$C$6)+O49</f>
        <v/>
      </c>
      <c r="P50" s="15">
        <f>O50*(1-'Допущения'!$C$6)+P49</f>
        <v/>
      </c>
      <c r="Q50" s="15">
        <f>P50*(1-'Допущения'!$C$6)+Q49</f>
        <v/>
      </c>
      <c r="R50" s="15">
        <f>Q50*(1-'Допущения'!$C$6)+R49</f>
        <v/>
      </c>
      <c r="S50" s="15">
        <f>R50*(1-'Допущения'!$C$6)+S49</f>
        <v/>
      </c>
      <c r="T50" s="15">
        <f>S50*(1-'Допущения'!$C$6)+T49</f>
        <v/>
      </c>
      <c r="U50" s="15">
        <f>T50*(1-'Допущения'!$C$6)+U49</f>
        <v/>
      </c>
      <c r="V50" s="15">
        <f>U50*(1-'Допущения'!$C$6)+V49</f>
        <v/>
      </c>
      <c r="W50" s="15">
        <f>V50*(1-'Допущения'!$C$6)+W49</f>
        <v/>
      </c>
      <c r="X50" s="15">
        <f>W50*(1-'Допущения'!$C$6)+X49</f>
        <v/>
      </c>
      <c r="Y50" s="15">
        <f>X50*(1-'Допущения'!$C$6)+Y49</f>
        <v/>
      </c>
      <c r="Z50" s="15">
        <f>Y50*(1-'Допущения'!$C$6)+Z49</f>
        <v/>
      </c>
      <c r="AA50" s="15">
        <f>Z50*(1-'Допущения'!$C$6)+AA49</f>
        <v/>
      </c>
      <c r="AB50" s="15">
        <f>SUM(D50:AA50)</f>
        <v/>
      </c>
    </row>
    <row r="51">
      <c r="A51" t="inlineStr">
        <is>
          <t>C07</t>
        </is>
      </c>
      <c r="B51" t="inlineStr">
        <is>
          <t>Аренда power bank</t>
        </is>
      </c>
      <c r="C51" t="inlineStr">
        <is>
          <t>HWREV</t>
        </is>
      </c>
      <c r="D51" s="15">
        <f>D49*'Допущения'!$E$21</f>
        <v/>
      </c>
      <c r="E51" s="15">
        <f>E49*'Допущения'!$E$21</f>
        <v/>
      </c>
      <c r="F51" s="15">
        <f>F49*'Допущения'!$E$21</f>
        <v/>
      </c>
      <c r="G51" s="15">
        <f>G49*'Допущения'!$E$21</f>
        <v/>
      </c>
      <c r="H51" s="15">
        <f>H49*'Допущения'!$E$21</f>
        <v/>
      </c>
      <c r="I51" s="15">
        <f>I49*'Допущения'!$E$21</f>
        <v/>
      </c>
      <c r="J51" s="15">
        <f>J49*'Допущения'!$E$21</f>
        <v/>
      </c>
      <c r="K51" s="15">
        <f>K49*'Допущения'!$E$21</f>
        <v/>
      </c>
      <c r="L51" s="15">
        <f>L49*'Допущения'!$E$21</f>
        <v/>
      </c>
      <c r="M51" s="15">
        <f>M49*'Допущения'!$E$21</f>
        <v/>
      </c>
      <c r="N51" s="15">
        <f>N49*'Допущения'!$E$21</f>
        <v/>
      </c>
      <c r="O51" s="15">
        <f>O49*'Допущения'!$E$21</f>
        <v/>
      </c>
      <c r="P51" s="15">
        <f>P49*'Допущения'!$E$21</f>
        <v/>
      </c>
      <c r="Q51" s="15">
        <f>Q49*'Допущения'!$E$21</f>
        <v/>
      </c>
      <c r="R51" s="15">
        <f>R49*'Допущения'!$E$21</f>
        <v/>
      </c>
      <c r="S51" s="15">
        <f>S49*'Допущения'!$E$21</f>
        <v/>
      </c>
      <c r="T51" s="15">
        <f>T49*'Допущения'!$E$21</f>
        <v/>
      </c>
      <c r="U51" s="15">
        <f>U49*'Допущения'!$E$21</f>
        <v/>
      </c>
      <c r="V51" s="15">
        <f>V49*'Допущения'!$E$21</f>
        <v/>
      </c>
      <c r="W51" s="15">
        <f>W49*'Допущения'!$E$21</f>
        <v/>
      </c>
      <c r="X51" s="15">
        <f>X49*'Допущения'!$E$21</f>
        <v/>
      </c>
      <c r="Y51" s="15">
        <f>Y49*'Допущения'!$E$21</f>
        <v/>
      </c>
      <c r="Z51" s="15">
        <f>Z49*'Допущения'!$E$21</f>
        <v/>
      </c>
      <c r="AA51" s="15">
        <f>AA49*'Допущения'!$E$21</f>
        <v/>
      </c>
      <c r="AB51" s="15">
        <f>SUM(D51:AA51)</f>
        <v/>
      </c>
    </row>
    <row r="52">
      <c r="A52" t="inlineStr">
        <is>
          <t>C07</t>
        </is>
      </c>
      <c r="B52" t="inlineStr">
        <is>
          <t>Аренда power bank</t>
        </is>
      </c>
      <c r="C52" t="inlineStr">
        <is>
          <t>RECREV</t>
        </is>
      </c>
      <c r="D52" s="15">
        <f>D50*'Допущения'!$F$21</f>
        <v/>
      </c>
      <c r="E52" s="15">
        <f>E50*'Допущения'!$F$21</f>
        <v/>
      </c>
      <c r="F52" s="15">
        <f>F50*'Допущения'!$F$21</f>
        <v/>
      </c>
      <c r="G52" s="15">
        <f>G50*'Допущения'!$F$21</f>
        <v/>
      </c>
      <c r="H52" s="15">
        <f>H50*'Допущения'!$F$21</f>
        <v/>
      </c>
      <c r="I52" s="15">
        <f>I50*'Допущения'!$F$21</f>
        <v/>
      </c>
      <c r="J52" s="15">
        <f>J50*'Допущения'!$F$21</f>
        <v/>
      </c>
      <c r="K52" s="15">
        <f>K50*'Допущения'!$F$21</f>
        <v/>
      </c>
      <c r="L52" s="15">
        <f>L50*'Допущения'!$F$21</f>
        <v/>
      </c>
      <c r="M52" s="15">
        <f>M50*'Допущения'!$F$21</f>
        <v/>
      </c>
      <c r="N52" s="15">
        <f>N50*'Допущения'!$F$21</f>
        <v/>
      </c>
      <c r="O52" s="15">
        <f>O50*'Допущения'!$F$21</f>
        <v/>
      </c>
      <c r="P52" s="15">
        <f>P50*'Допущения'!$F$21</f>
        <v/>
      </c>
      <c r="Q52" s="15">
        <f>Q50*'Допущения'!$F$21</f>
        <v/>
      </c>
      <c r="R52" s="15">
        <f>R50*'Допущения'!$F$21</f>
        <v/>
      </c>
      <c r="S52" s="15">
        <f>S50*'Допущения'!$F$21</f>
        <v/>
      </c>
      <c r="T52" s="15">
        <f>T50*'Допущения'!$F$21</f>
        <v/>
      </c>
      <c r="U52" s="15">
        <f>U50*'Допущения'!$F$21</f>
        <v/>
      </c>
      <c r="V52" s="15">
        <f>V50*'Допущения'!$F$21</f>
        <v/>
      </c>
      <c r="W52" s="15">
        <f>W50*'Допущения'!$F$21</f>
        <v/>
      </c>
      <c r="X52" s="15">
        <f>X50*'Допущения'!$F$21</f>
        <v/>
      </c>
      <c r="Y52" s="15">
        <f>Y50*'Допущения'!$F$21</f>
        <v/>
      </c>
      <c r="Z52" s="15">
        <f>Z50*'Допущения'!$F$21</f>
        <v/>
      </c>
      <c r="AA52" s="15">
        <f>AA50*'Допущения'!$F$21</f>
        <v/>
      </c>
      <c r="AB52" s="15">
        <f>SUM(D52:AA52)</f>
        <v/>
      </c>
    </row>
    <row r="53">
      <c r="A53" t="inlineStr">
        <is>
          <t>C07</t>
        </is>
      </c>
      <c r="B53" t="inlineStr">
        <is>
          <t>Аренда power bank</t>
        </is>
      </c>
      <c r="C53" t="inlineStr">
        <is>
          <t>TXNREV</t>
        </is>
      </c>
      <c r="D53" s="15">
        <f>D50*'Допущения'!$G$21</f>
        <v/>
      </c>
      <c r="E53" s="15">
        <f>E50*'Допущения'!$G$21</f>
        <v/>
      </c>
      <c r="F53" s="15">
        <f>F50*'Допущения'!$G$21</f>
        <v/>
      </c>
      <c r="G53" s="15">
        <f>G50*'Допущения'!$G$21</f>
        <v/>
      </c>
      <c r="H53" s="15">
        <f>H50*'Допущения'!$G$21</f>
        <v/>
      </c>
      <c r="I53" s="15">
        <f>I50*'Допущения'!$G$21</f>
        <v/>
      </c>
      <c r="J53" s="15">
        <f>J50*'Допущения'!$G$21</f>
        <v/>
      </c>
      <c r="K53" s="15">
        <f>K50*'Допущения'!$G$21</f>
        <v/>
      </c>
      <c r="L53" s="15">
        <f>L50*'Допущения'!$G$21</f>
        <v/>
      </c>
      <c r="M53" s="15">
        <f>M50*'Допущения'!$G$21</f>
        <v/>
      </c>
      <c r="N53" s="15">
        <f>N50*'Допущения'!$G$21</f>
        <v/>
      </c>
      <c r="O53" s="15">
        <f>O50*'Допущения'!$G$21</f>
        <v/>
      </c>
      <c r="P53" s="15">
        <f>P50*'Допущения'!$G$21</f>
        <v/>
      </c>
      <c r="Q53" s="15">
        <f>Q50*'Допущения'!$G$21</f>
        <v/>
      </c>
      <c r="R53" s="15">
        <f>R50*'Допущения'!$G$21</f>
        <v/>
      </c>
      <c r="S53" s="15">
        <f>S50*'Допущения'!$G$21</f>
        <v/>
      </c>
      <c r="T53" s="15">
        <f>T50*'Допущения'!$G$21</f>
        <v/>
      </c>
      <c r="U53" s="15">
        <f>U50*'Допущения'!$G$21</f>
        <v/>
      </c>
      <c r="V53" s="15">
        <f>V50*'Допущения'!$G$21</f>
        <v/>
      </c>
      <c r="W53" s="15">
        <f>W50*'Допущения'!$G$21</f>
        <v/>
      </c>
      <c r="X53" s="15">
        <f>X50*'Допущения'!$G$21</f>
        <v/>
      </c>
      <c r="Y53" s="15">
        <f>Y50*'Допущения'!$G$21</f>
        <v/>
      </c>
      <c r="Z53" s="15">
        <f>Z50*'Допущения'!$G$21</f>
        <v/>
      </c>
      <c r="AA53" s="15">
        <f>AA50*'Допущения'!$G$21</f>
        <v/>
      </c>
      <c r="AB53" s="15">
        <f>SUM(D53:AA53)</f>
        <v/>
      </c>
    </row>
    <row r="54">
      <c r="A54" t="inlineStr">
        <is>
          <t>C07</t>
        </is>
      </c>
      <c r="B54" t="inlineStr">
        <is>
          <t>Аренда power bank</t>
        </is>
      </c>
      <c r="C54" t="inlineStr">
        <is>
          <t>COGS</t>
        </is>
      </c>
      <c r="D54" s="15">
        <f>D49*('Допущения'!$C$21+'Допущения'!$D$21)</f>
        <v/>
      </c>
      <c r="E54" s="15">
        <f>E49*('Допущения'!$C$21+'Допущения'!$D$21)</f>
        <v/>
      </c>
      <c r="F54" s="15">
        <f>F49*('Допущения'!$C$21+'Допущения'!$D$21)</f>
        <v/>
      </c>
      <c r="G54" s="15">
        <f>G49*('Допущения'!$C$21+'Допущения'!$D$21)</f>
        <v/>
      </c>
      <c r="H54" s="15">
        <f>H49*('Допущения'!$C$21+'Допущения'!$D$21)</f>
        <v/>
      </c>
      <c r="I54" s="15">
        <f>I49*('Допущения'!$C$21+'Допущения'!$D$21)</f>
        <v/>
      </c>
      <c r="J54" s="15">
        <f>J49*('Допущения'!$C$21+'Допущения'!$D$21)</f>
        <v/>
      </c>
      <c r="K54" s="15">
        <f>K49*('Допущения'!$C$21+'Допущения'!$D$21)</f>
        <v/>
      </c>
      <c r="L54" s="15">
        <f>L49*('Допущения'!$C$21+'Допущения'!$D$21)</f>
        <v/>
      </c>
      <c r="M54" s="15">
        <f>M49*('Допущения'!$C$21+'Допущения'!$D$21)</f>
        <v/>
      </c>
      <c r="N54" s="15">
        <f>N49*('Допущения'!$C$21+'Допущения'!$D$21)</f>
        <v/>
      </c>
      <c r="O54" s="15">
        <f>O49*('Допущения'!$C$21+'Допущения'!$D$21)</f>
        <v/>
      </c>
      <c r="P54" s="15">
        <f>P49*('Допущения'!$C$21+'Допущения'!$D$21)</f>
        <v/>
      </c>
      <c r="Q54" s="15">
        <f>Q49*('Допущения'!$C$21+'Допущения'!$D$21)</f>
        <v/>
      </c>
      <c r="R54" s="15">
        <f>R49*('Допущения'!$C$21+'Допущения'!$D$21)</f>
        <v/>
      </c>
      <c r="S54" s="15">
        <f>S49*('Допущения'!$C$21+'Допущения'!$D$21)</f>
        <v/>
      </c>
      <c r="T54" s="15">
        <f>T49*('Допущения'!$C$21+'Допущения'!$D$21)</f>
        <v/>
      </c>
      <c r="U54" s="15">
        <f>U49*('Допущения'!$C$21+'Допущения'!$D$21)</f>
        <v/>
      </c>
      <c r="V54" s="15">
        <f>V49*('Допущения'!$C$21+'Допущения'!$D$21)</f>
        <v/>
      </c>
      <c r="W54" s="15">
        <f>W49*('Допущения'!$C$21+'Допущения'!$D$21)</f>
        <v/>
      </c>
      <c r="X54" s="15">
        <f>X49*('Допущения'!$C$21+'Допущения'!$D$21)</f>
        <v/>
      </c>
      <c r="Y54" s="15">
        <f>Y49*('Допущения'!$C$21+'Допущения'!$D$21)</f>
        <v/>
      </c>
      <c r="Z54" s="15">
        <f>Z49*('Допущения'!$C$21+'Допущения'!$D$21)</f>
        <v/>
      </c>
      <c r="AA54" s="15">
        <f>AA49*('Допущения'!$C$21+'Допущения'!$D$21)</f>
        <v/>
      </c>
      <c r="AB54" s="15">
        <f>SUM(D54:AA54)</f>
        <v/>
      </c>
    </row>
    <row r="55">
      <c r="A55" t="inlineStr">
        <is>
          <t>C07</t>
        </is>
      </c>
      <c r="B55" t="inlineStr">
        <is>
          <t>Аренда power bank</t>
        </is>
      </c>
      <c r="C55" t="inlineStr">
        <is>
          <t>VARC</t>
        </is>
      </c>
      <c r="D55" s="15">
        <f>D50*'Допущения'!$H$21</f>
        <v/>
      </c>
      <c r="E55" s="15">
        <f>E50*'Допущения'!$H$21</f>
        <v/>
      </c>
      <c r="F55" s="15">
        <f>F50*'Допущения'!$H$21</f>
        <v/>
      </c>
      <c r="G55" s="15">
        <f>G50*'Допущения'!$H$21</f>
        <v/>
      </c>
      <c r="H55" s="15">
        <f>H50*'Допущения'!$H$21</f>
        <v/>
      </c>
      <c r="I55" s="15">
        <f>I50*'Допущения'!$H$21</f>
        <v/>
      </c>
      <c r="J55" s="15">
        <f>J50*'Допущения'!$H$21</f>
        <v/>
      </c>
      <c r="K55" s="15">
        <f>K50*'Допущения'!$H$21</f>
        <v/>
      </c>
      <c r="L55" s="15">
        <f>L50*'Допущения'!$H$21</f>
        <v/>
      </c>
      <c r="M55" s="15">
        <f>M50*'Допущения'!$H$21</f>
        <v/>
      </c>
      <c r="N55" s="15">
        <f>N50*'Допущения'!$H$21</f>
        <v/>
      </c>
      <c r="O55" s="15">
        <f>O50*'Допущения'!$H$21</f>
        <v/>
      </c>
      <c r="P55" s="15">
        <f>P50*'Допущения'!$H$21</f>
        <v/>
      </c>
      <c r="Q55" s="15">
        <f>Q50*'Допущения'!$H$21</f>
        <v/>
      </c>
      <c r="R55" s="15">
        <f>R50*'Допущения'!$H$21</f>
        <v/>
      </c>
      <c r="S55" s="15">
        <f>S50*'Допущения'!$H$21</f>
        <v/>
      </c>
      <c r="T55" s="15">
        <f>T50*'Допущения'!$H$21</f>
        <v/>
      </c>
      <c r="U55" s="15">
        <f>U50*'Допущения'!$H$21</f>
        <v/>
      </c>
      <c r="V55" s="15">
        <f>V50*'Допущения'!$H$21</f>
        <v/>
      </c>
      <c r="W55" s="15">
        <f>W50*'Допущения'!$H$21</f>
        <v/>
      </c>
      <c r="X55" s="15">
        <f>X50*'Допущения'!$H$21</f>
        <v/>
      </c>
      <c r="Y55" s="15">
        <f>Y50*'Допущения'!$H$21</f>
        <v/>
      </c>
      <c r="Z55" s="15">
        <f>Z50*'Допущения'!$H$21</f>
        <v/>
      </c>
      <c r="AA55" s="15">
        <f>AA50*'Допущения'!$H$21</f>
        <v/>
      </c>
      <c r="AB55" s="15">
        <f>SUM(D55:AA55)</f>
        <v/>
      </c>
    </row>
    <row r="56">
      <c r="A56" t="inlineStr">
        <is>
          <t>C08</t>
        </is>
      </c>
      <c r="B56" t="inlineStr">
        <is>
          <t>IoT-комплект энергосбережения (на номер)</t>
        </is>
      </c>
      <c r="C56" t="inlineStr">
        <is>
          <t>NEWU</t>
        </is>
      </c>
      <c r="D56" s="15">
        <f>IF(D$3&gt;='Допущения'!$K$22,D$4*'Допущения'!$J$22*'Допущения'!$I$22,0)</f>
        <v/>
      </c>
      <c r="E56" s="15">
        <f>IF(E$3&gt;='Допущения'!$K$22,E$4*'Допущения'!$J$22*'Допущения'!$I$22,0)</f>
        <v/>
      </c>
      <c r="F56" s="15">
        <f>IF(F$3&gt;='Допущения'!$K$22,F$4*'Допущения'!$J$22*'Допущения'!$I$22,0)</f>
        <v/>
      </c>
      <c r="G56" s="15">
        <f>IF(G$3&gt;='Допущения'!$K$22,G$4*'Допущения'!$J$22*'Допущения'!$I$22,0)</f>
        <v/>
      </c>
      <c r="H56" s="15">
        <f>IF(H$3&gt;='Допущения'!$K$22,H$4*'Допущения'!$J$22*'Допущения'!$I$22,0)</f>
        <v/>
      </c>
      <c r="I56" s="15">
        <f>IF(I$3&gt;='Допущения'!$K$22,I$4*'Допущения'!$J$22*'Допущения'!$I$22,0)</f>
        <v/>
      </c>
      <c r="J56" s="15">
        <f>IF(J$3&gt;='Допущения'!$K$22,J$4*'Допущения'!$J$22*'Допущения'!$I$22,0)</f>
        <v/>
      </c>
      <c r="K56" s="15">
        <f>IF(K$3&gt;='Допущения'!$K$22,K$4*'Допущения'!$J$22*'Допущения'!$I$22,0)</f>
        <v/>
      </c>
      <c r="L56" s="15">
        <f>IF(L$3&gt;='Допущения'!$K$22,L$4*'Допущения'!$J$22*'Допущения'!$I$22,0)</f>
        <v/>
      </c>
      <c r="M56" s="15">
        <f>IF(M$3&gt;='Допущения'!$K$22,M$4*'Допущения'!$J$22*'Допущения'!$I$22,0)</f>
        <v/>
      </c>
      <c r="N56" s="15">
        <f>IF(N$3&gt;='Допущения'!$K$22,N$4*'Допущения'!$J$22*'Допущения'!$I$22,0)</f>
        <v/>
      </c>
      <c r="O56" s="15">
        <f>IF(O$3&gt;='Допущения'!$K$22,O$4*'Допущения'!$J$22*'Допущения'!$I$22,0)</f>
        <v/>
      </c>
      <c r="P56" s="15">
        <f>IF(P$3&gt;='Допущения'!$K$22,P$4*'Допущения'!$J$22*'Допущения'!$I$22,0)</f>
        <v/>
      </c>
      <c r="Q56" s="15">
        <f>IF(Q$3&gt;='Допущения'!$K$22,Q$4*'Допущения'!$J$22*'Допущения'!$I$22,0)</f>
        <v/>
      </c>
      <c r="R56" s="15">
        <f>IF(R$3&gt;='Допущения'!$K$22,R$4*'Допущения'!$J$22*'Допущения'!$I$22,0)</f>
        <v/>
      </c>
      <c r="S56" s="15">
        <f>IF(S$3&gt;='Допущения'!$K$22,S$4*'Допущения'!$J$22*'Допущения'!$I$22,0)</f>
        <v/>
      </c>
      <c r="T56" s="15">
        <f>IF(T$3&gt;='Допущения'!$K$22,T$4*'Допущения'!$J$22*'Допущения'!$I$22,0)</f>
        <v/>
      </c>
      <c r="U56" s="15">
        <f>IF(U$3&gt;='Допущения'!$K$22,U$4*'Допущения'!$J$22*'Допущения'!$I$22,0)</f>
        <v/>
      </c>
      <c r="V56" s="15">
        <f>IF(V$3&gt;='Допущения'!$K$22,V$4*'Допущения'!$J$22*'Допущения'!$I$22,0)</f>
        <v/>
      </c>
      <c r="W56" s="15">
        <f>IF(W$3&gt;='Допущения'!$K$22,W$4*'Допущения'!$J$22*'Допущения'!$I$22,0)</f>
        <v/>
      </c>
      <c r="X56" s="15">
        <f>IF(X$3&gt;='Допущения'!$K$22,X$4*'Допущения'!$J$22*'Допущения'!$I$22,0)</f>
        <v/>
      </c>
      <c r="Y56" s="15">
        <f>IF(Y$3&gt;='Допущения'!$K$22,Y$4*'Допущения'!$J$22*'Допущения'!$I$22,0)</f>
        <v/>
      </c>
      <c r="Z56" s="15">
        <f>IF(Z$3&gt;='Допущения'!$K$22,Z$4*'Допущения'!$J$22*'Допущения'!$I$22,0)</f>
        <v/>
      </c>
      <c r="AA56" s="15">
        <f>IF(AA$3&gt;='Допущения'!$K$22,AA$4*'Допущения'!$J$22*'Допущения'!$I$22,0)</f>
        <v/>
      </c>
      <c r="AB56" s="15">
        <f>SUM(D56:AA56)</f>
        <v/>
      </c>
    </row>
    <row r="57">
      <c r="A57" t="inlineStr">
        <is>
          <t>C08</t>
        </is>
      </c>
      <c r="B57" t="inlineStr">
        <is>
          <t>IoT-комплект энергосбережения (на номер)</t>
        </is>
      </c>
      <c r="C57" t="inlineStr">
        <is>
          <t>ACTU</t>
        </is>
      </c>
      <c r="D57" s="15">
        <f>D56</f>
        <v/>
      </c>
      <c r="E57" s="15">
        <f>D57*(1-'Допущения'!$C$6)+E56</f>
        <v/>
      </c>
      <c r="F57" s="15">
        <f>E57*(1-'Допущения'!$C$6)+F56</f>
        <v/>
      </c>
      <c r="G57" s="15">
        <f>F57*(1-'Допущения'!$C$6)+G56</f>
        <v/>
      </c>
      <c r="H57" s="15">
        <f>G57*(1-'Допущения'!$C$6)+H56</f>
        <v/>
      </c>
      <c r="I57" s="15">
        <f>H57*(1-'Допущения'!$C$6)+I56</f>
        <v/>
      </c>
      <c r="J57" s="15">
        <f>I57*(1-'Допущения'!$C$6)+J56</f>
        <v/>
      </c>
      <c r="K57" s="15">
        <f>J57*(1-'Допущения'!$C$6)+K56</f>
        <v/>
      </c>
      <c r="L57" s="15">
        <f>K57*(1-'Допущения'!$C$6)+L56</f>
        <v/>
      </c>
      <c r="M57" s="15">
        <f>L57*(1-'Допущения'!$C$6)+M56</f>
        <v/>
      </c>
      <c r="N57" s="15">
        <f>M57*(1-'Допущения'!$C$6)+N56</f>
        <v/>
      </c>
      <c r="O57" s="15">
        <f>N57*(1-'Допущения'!$C$6)+O56</f>
        <v/>
      </c>
      <c r="P57" s="15">
        <f>O57*(1-'Допущения'!$C$6)+P56</f>
        <v/>
      </c>
      <c r="Q57" s="15">
        <f>P57*(1-'Допущения'!$C$6)+Q56</f>
        <v/>
      </c>
      <c r="R57" s="15">
        <f>Q57*(1-'Допущения'!$C$6)+R56</f>
        <v/>
      </c>
      <c r="S57" s="15">
        <f>R57*(1-'Допущения'!$C$6)+S56</f>
        <v/>
      </c>
      <c r="T57" s="15">
        <f>S57*(1-'Допущения'!$C$6)+T56</f>
        <v/>
      </c>
      <c r="U57" s="15">
        <f>T57*(1-'Допущения'!$C$6)+U56</f>
        <v/>
      </c>
      <c r="V57" s="15">
        <f>U57*(1-'Допущения'!$C$6)+V56</f>
        <v/>
      </c>
      <c r="W57" s="15">
        <f>V57*(1-'Допущения'!$C$6)+W56</f>
        <v/>
      </c>
      <c r="X57" s="15">
        <f>W57*(1-'Допущения'!$C$6)+X56</f>
        <v/>
      </c>
      <c r="Y57" s="15">
        <f>X57*(1-'Допущения'!$C$6)+Y56</f>
        <v/>
      </c>
      <c r="Z57" s="15">
        <f>Y57*(1-'Допущения'!$C$6)+Z56</f>
        <v/>
      </c>
      <c r="AA57" s="15">
        <f>Z57*(1-'Допущения'!$C$6)+AA56</f>
        <v/>
      </c>
      <c r="AB57" s="15">
        <f>SUM(D57:AA57)</f>
        <v/>
      </c>
    </row>
    <row r="58">
      <c r="A58" t="inlineStr">
        <is>
          <t>C08</t>
        </is>
      </c>
      <c r="B58" t="inlineStr">
        <is>
          <t>IoT-комплект энергосбережения (на номер)</t>
        </is>
      </c>
      <c r="C58" t="inlineStr">
        <is>
          <t>HWREV</t>
        </is>
      </c>
      <c r="D58" s="15">
        <f>D56*'Допущения'!$E$22</f>
        <v/>
      </c>
      <c r="E58" s="15">
        <f>E56*'Допущения'!$E$22</f>
        <v/>
      </c>
      <c r="F58" s="15">
        <f>F56*'Допущения'!$E$22</f>
        <v/>
      </c>
      <c r="G58" s="15">
        <f>G56*'Допущения'!$E$22</f>
        <v/>
      </c>
      <c r="H58" s="15">
        <f>H56*'Допущения'!$E$22</f>
        <v/>
      </c>
      <c r="I58" s="15">
        <f>I56*'Допущения'!$E$22</f>
        <v/>
      </c>
      <c r="J58" s="15">
        <f>J56*'Допущения'!$E$22</f>
        <v/>
      </c>
      <c r="K58" s="15">
        <f>K56*'Допущения'!$E$22</f>
        <v/>
      </c>
      <c r="L58" s="15">
        <f>L56*'Допущения'!$E$22</f>
        <v/>
      </c>
      <c r="M58" s="15">
        <f>M56*'Допущения'!$E$22</f>
        <v/>
      </c>
      <c r="N58" s="15">
        <f>N56*'Допущения'!$E$22</f>
        <v/>
      </c>
      <c r="O58" s="15">
        <f>O56*'Допущения'!$E$22</f>
        <v/>
      </c>
      <c r="P58" s="15">
        <f>P56*'Допущения'!$E$22</f>
        <v/>
      </c>
      <c r="Q58" s="15">
        <f>Q56*'Допущения'!$E$22</f>
        <v/>
      </c>
      <c r="R58" s="15">
        <f>R56*'Допущения'!$E$22</f>
        <v/>
      </c>
      <c r="S58" s="15">
        <f>S56*'Допущения'!$E$22</f>
        <v/>
      </c>
      <c r="T58" s="15">
        <f>T56*'Допущения'!$E$22</f>
        <v/>
      </c>
      <c r="U58" s="15">
        <f>U56*'Допущения'!$E$22</f>
        <v/>
      </c>
      <c r="V58" s="15">
        <f>V56*'Допущения'!$E$22</f>
        <v/>
      </c>
      <c r="W58" s="15">
        <f>W56*'Допущения'!$E$22</f>
        <v/>
      </c>
      <c r="X58" s="15">
        <f>X56*'Допущения'!$E$22</f>
        <v/>
      </c>
      <c r="Y58" s="15">
        <f>Y56*'Допущения'!$E$22</f>
        <v/>
      </c>
      <c r="Z58" s="15">
        <f>Z56*'Допущения'!$E$22</f>
        <v/>
      </c>
      <c r="AA58" s="15">
        <f>AA56*'Допущения'!$E$22</f>
        <v/>
      </c>
      <c r="AB58" s="15">
        <f>SUM(D58:AA58)</f>
        <v/>
      </c>
    </row>
    <row r="59">
      <c r="A59" t="inlineStr">
        <is>
          <t>C08</t>
        </is>
      </c>
      <c r="B59" t="inlineStr">
        <is>
          <t>IoT-комплект энергосбережения (на номер)</t>
        </is>
      </c>
      <c r="C59" t="inlineStr">
        <is>
          <t>RECREV</t>
        </is>
      </c>
      <c r="D59" s="15">
        <f>D57*'Допущения'!$F$22</f>
        <v/>
      </c>
      <c r="E59" s="15">
        <f>E57*'Допущения'!$F$22</f>
        <v/>
      </c>
      <c r="F59" s="15">
        <f>F57*'Допущения'!$F$22</f>
        <v/>
      </c>
      <c r="G59" s="15">
        <f>G57*'Допущения'!$F$22</f>
        <v/>
      </c>
      <c r="H59" s="15">
        <f>H57*'Допущения'!$F$22</f>
        <v/>
      </c>
      <c r="I59" s="15">
        <f>I57*'Допущения'!$F$22</f>
        <v/>
      </c>
      <c r="J59" s="15">
        <f>J57*'Допущения'!$F$22</f>
        <v/>
      </c>
      <c r="K59" s="15">
        <f>K57*'Допущения'!$F$22</f>
        <v/>
      </c>
      <c r="L59" s="15">
        <f>L57*'Допущения'!$F$22</f>
        <v/>
      </c>
      <c r="M59" s="15">
        <f>M57*'Допущения'!$F$22</f>
        <v/>
      </c>
      <c r="N59" s="15">
        <f>N57*'Допущения'!$F$22</f>
        <v/>
      </c>
      <c r="O59" s="15">
        <f>O57*'Допущения'!$F$22</f>
        <v/>
      </c>
      <c r="P59" s="15">
        <f>P57*'Допущения'!$F$22</f>
        <v/>
      </c>
      <c r="Q59" s="15">
        <f>Q57*'Допущения'!$F$22</f>
        <v/>
      </c>
      <c r="R59" s="15">
        <f>R57*'Допущения'!$F$22</f>
        <v/>
      </c>
      <c r="S59" s="15">
        <f>S57*'Допущения'!$F$22</f>
        <v/>
      </c>
      <c r="T59" s="15">
        <f>T57*'Допущения'!$F$22</f>
        <v/>
      </c>
      <c r="U59" s="15">
        <f>U57*'Допущения'!$F$22</f>
        <v/>
      </c>
      <c r="V59" s="15">
        <f>V57*'Допущения'!$F$22</f>
        <v/>
      </c>
      <c r="W59" s="15">
        <f>W57*'Допущения'!$F$22</f>
        <v/>
      </c>
      <c r="X59" s="15">
        <f>X57*'Допущения'!$F$22</f>
        <v/>
      </c>
      <c r="Y59" s="15">
        <f>Y57*'Допущения'!$F$22</f>
        <v/>
      </c>
      <c r="Z59" s="15">
        <f>Z57*'Допущения'!$F$22</f>
        <v/>
      </c>
      <c r="AA59" s="15">
        <f>AA57*'Допущения'!$F$22</f>
        <v/>
      </c>
      <c r="AB59" s="15">
        <f>SUM(D59:AA59)</f>
        <v/>
      </c>
    </row>
    <row r="60">
      <c r="A60" t="inlineStr">
        <is>
          <t>C08</t>
        </is>
      </c>
      <c r="B60" t="inlineStr">
        <is>
          <t>IoT-комплект энергосбережения (на номер)</t>
        </is>
      </c>
      <c r="C60" t="inlineStr">
        <is>
          <t>TXNREV</t>
        </is>
      </c>
      <c r="D60" s="15">
        <f>D57*'Допущения'!$G$22</f>
        <v/>
      </c>
      <c r="E60" s="15">
        <f>E57*'Допущения'!$G$22</f>
        <v/>
      </c>
      <c r="F60" s="15">
        <f>F57*'Допущения'!$G$22</f>
        <v/>
      </c>
      <c r="G60" s="15">
        <f>G57*'Допущения'!$G$22</f>
        <v/>
      </c>
      <c r="H60" s="15">
        <f>H57*'Допущения'!$G$22</f>
        <v/>
      </c>
      <c r="I60" s="15">
        <f>I57*'Допущения'!$G$22</f>
        <v/>
      </c>
      <c r="J60" s="15">
        <f>J57*'Допущения'!$G$22</f>
        <v/>
      </c>
      <c r="K60" s="15">
        <f>K57*'Допущения'!$G$22</f>
        <v/>
      </c>
      <c r="L60" s="15">
        <f>L57*'Допущения'!$G$22</f>
        <v/>
      </c>
      <c r="M60" s="15">
        <f>M57*'Допущения'!$G$22</f>
        <v/>
      </c>
      <c r="N60" s="15">
        <f>N57*'Допущения'!$G$22</f>
        <v/>
      </c>
      <c r="O60" s="15">
        <f>O57*'Допущения'!$G$22</f>
        <v/>
      </c>
      <c r="P60" s="15">
        <f>P57*'Допущения'!$G$22</f>
        <v/>
      </c>
      <c r="Q60" s="15">
        <f>Q57*'Допущения'!$G$22</f>
        <v/>
      </c>
      <c r="R60" s="15">
        <f>R57*'Допущения'!$G$22</f>
        <v/>
      </c>
      <c r="S60" s="15">
        <f>S57*'Допущения'!$G$22</f>
        <v/>
      </c>
      <c r="T60" s="15">
        <f>T57*'Допущения'!$G$22</f>
        <v/>
      </c>
      <c r="U60" s="15">
        <f>U57*'Допущения'!$G$22</f>
        <v/>
      </c>
      <c r="V60" s="15">
        <f>V57*'Допущения'!$G$22</f>
        <v/>
      </c>
      <c r="W60" s="15">
        <f>W57*'Допущения'!$G$22</f>
        <v/>
      </c>
      <c r="X60" s="15">
        <f>X57*'Допущения'!$G$22</f>
        <v/>
      </c>
      <c r="Y60" s="15">
        <f>Y57*'Допущения'!$G$22</f>
        <v/>
      </c>
      <c r="Z60" s="15">
        <f>Z57*'Допущения'!$G$22</f>
        <v/>
      </c>
      <c r="AA60" s="15">
        <f>AA57*'Допущения'!$G$22</f>
        <v/>
      </c>
      <c r="AB60" s="15">
        <f>SUM(D60:AA60)</f>
        <v/>
      </c>
    </row>
    <row r="61">
      <c r="A61" t="inlineStr">
        <is>
          <t>C08</t>
        </is>
      </c>
      <c r="B61" t="inlineStr">
        <is>
          <t>IoT-комплект энергосбережения (на номер)</t>
        </is>
      </c>
      <c r="C61" t="inlineStr">
        <is>
          <t>COGS</t>
        </is>
      </c>
      <c r="D61" s="15">
        <f>D56*('Допущения'!$C$22+'Допущения'!$D$22)</f>
        <v/>
      </c>
      <c r="E61" s="15">
        <f>E56*('Допущения'!$C$22+'Допущения'!$D$22)</f>
        <v/>
      </c>
      <c r="F61" s="15">
        <f>F56*('Допущения'!$C$22+'Допущения'!$D$22)</f>
        <v/>
      </c>
      <c r="G61" s="15">
        <f>G56*('Допущения'!$C$22+'Допущения'!$D$22)</f>
        <v/>
      </c>
      <c r="H61" s="15">
        <f>H56*('Допущения'!$C$22+'Допущения'!$D$22)</f>
        <v/>
      </c>
      <c r="I61" s="15">
        <f>I56*('Допущения'!$C$22+'Допущения'!$D$22)</f>
        <v/>
      </c>
      <c r="J61" s="15">
        <f>J56*('Допущения'!$C$22+'Допущения'!$D$22)</f>
        <v/>
      </c>
      <c r="K61" s="15">
        <f>K56*('Допущения'!$C$22+'Допущения'!$D$22)</f>
        <v/>
      </c>
      <c r="L61" s="15">
        <f>L56*('Допущения'!$C$22+'Допущения'!$D$22)</f>
        <v/>
      </c>
      <c r="M61" s="15">
        <f>M56*('Допущения'!$C$22+'Допущения'!$D$22)</f>
        <v/>
      </c>
      <c r="N61" s="15">
        <f>N56*('Допущения'!$C$22+'Допущения'!$D$22)</f>
        <v/>
      </c>
      <c r="O61" s="15">
        <f>O56*('Допущения'!$C$22+'Допущения'!$D$22)</f>
        <v/>
      </c>
      <c r="P61" s="15">
        <f>P56*('Допущения'!$C$22+'Допущения'!$D$22)</f>
        <v/>
      </c>
      <c r="Q61" s="15">
        <f>Q56*('Допущения'!$C$22+'Допущения'!$D$22)</f>
        <v/>
      </c>
      <c r="R61" s="15">
        <f>R56*('Допущения'!$C$22+'Допущения'!$D$22)</f>
        <v/>
      </c>
      <c r="S61" s="15">
        <f>S56*('Допущения'!$C$22+'Допущения'!$D$22)</f>
        <v/>
      </c>
      <c r="T61" s="15">
        <f>T56*('Допущения'!$C$22+'Допущения'!$D$22)</f>
        <v/>
      </c>
      <c r="U61" s="15">
        <f>U56*('Допущения'!$C$22+'Допущения'!$D$22)</f>
        <v/>
      </c>
      <c r="V61" s="15">
        <f>V56*('Допущения'!$C$22+'Допущения'!$D$22)</f>
        <v/>
      </c>
      <c r="W61" s="15">
        <f>W56*('Допущения'!$C$22+'Допущения'!$D$22)</f>
        <v/>
      </c>
      <c r="X61" s="15">
        <f>X56*('Допущения'!$C$22+'Допущения'!$D$22)</f>
        <v/>
      </c>
      <c r="Y61" s="15">
        <f>Y56*('Допущения'!$C$22+'Допущения'!$D$22)</f>
        <v/>
      </c>
      <c r="Z61" s="15">
        <f>Z56*('Допущения'!$C$22+'Допущения'!$D$22)</f>
        <v/>
      </c>
      <c r="AA61" s="15">
        <f>AA56*('Допущения'!$C$22+'Допущения'!$D$22)</f>
        <v/>
      </c>
      <c r="AB61" s="15">
        <f>SUM(D61:AA61)</f>
        <v/>
      </c>
    </row>
    <row r="62">
      <c r="A62" t="inlineStr">
        <is>
          <t>C08</t>
        </is>
      </c>
      <c r="B62" t="inlineStr">
        <is>
          <t>IoT-комплект энергосбережения (на номер)</t>
        </is>
      </c>
      <c r="C62" t="inlineStr">
        <is>
          <t>VARC</t>
        </is>
      </c>
      <c r="D62" s="15">
        <f>D57*'Допущения'!$H$22</f>
        <v/>
      </c>
      <c r="E62" s="15">
        <f>E57*'Допущения'!$H$22</f>
        <v/>
      </c>
      <c r="F62" s="15">
        <f>F57*'Допущения'!$H$22</f>
        <v/>
      </c>
      <c r="G62" s="15">
        <f>G57*'Допущения'!$H$22</f>
        <v/>
      </c>
      <c r="H62" s="15">
        <f>H57*'Допущения'!$H$22</f>
        <v/>
      </c>
      <c r="I62" s="15">
        <f>I57*'Допущения'!$H$22</f>
        <v/>
      </c>
      <c r="J62" s="15">
        <f>J57*'Допущения'!$H$22</f>
        <v/>
      </c>
      <c r="K62" s="15">
        <f>K57*'Допущения'!$H$22</f>
        <v/>
      </c>
      <c r="L62" s="15">
        <f>L57*'Допущения'!$H$22</f>
        <v/>
      </c>
      <c r="M62" s="15">
        <f>M57*'Допущения'!$H$22</f>
        <v/>
      </c>
      <c r="N62" s="15">
        <f>N57*'Допущения'!$H$22</f>
        <v/>
      </c>
      <c r="O62" s="15">
        <f>O57*'Допущения'!$H$22</f>
        <v/>
      </c>
      <c r="P62" s="15">
        <f>P57*'Допущения'!$H$22</f>
        <v/>
      </c>
      <c r="Q62" s="15">
        <f>Q57*'Допущения'!$H$22</f>
        <v/>
      </c>
      <c r="R62" s="15">
        <f>R57*'Допущения'!$H$22</f>
        <v/>
      </c>
      <c r="S62" s="15">
        <f>S57*'Допущения'!$H$22</f>
        <v/>
      </c>
      <c r="T62" s="15">
        <f>T57*'Допущения'!$H$22</f>
        <v/>
      </c>
      <c r="U62" s="15">
        <f>U57*'Допущения'!$H$22</f>
        <v/>
      </c>
      <c r="V62" s="15">
        <f>V57*'Допущения'!$H$22</f>
        <v/>
      </c>
      <c r="W62" s="15">
        <f>W57*'Допущения'!$H$22</f>
        <v/>
      </c>
      <c r="X62" s="15">
        <f>X57*'Допущения'!$H$22</f>
        <v/>
      </c>
      <c r="Y62" s="15">
        <f>Y57*'Допущения'!$H$22</f>
        <v/>
      </c>
      <c r="Z62" s="15">
        <f>Z57*'Допущения'!$H$22</f>
        <v/>
      </c>
      <c r="AA62" s="15">
        <f>AA57*'Допущения'!$H$22</f>
        <v/>
      </c>
      <c r="AB62" s="15">
        <f>SUM(D62:AA62)</f>
        <v/>
      </c>
    </row>
    <row r="63">
      <c r="A63" t="inlineStr">
        <is>
          <t>C09</t>
        </is>
      </c>
      <c r="B63" t="inlineStr">
        <is>
          <t>Smart access (на дверь)</t>
        </is>
      </c>
      <c r="C63" t="inlineStr">
        <is>
          <t>NEWU</t>
        </is>
      </c>
      <c r="D63" s="15">
        <f>IF(D$3&gt;='Допущения'!$K$23,D$4*'Допущения'!$J$23*'Допущения'!$I$23,0)</f>
        <v/>
      </c>
      <c r="E63" s="15">
        <f>IF(E$3&gt;='Допущения'!$K$23,E$4*'Допущения'!$J$23*'Допущения'!$I$23,0)</f>
        <v/>
      </c>
      <c r="F63" s="15">
        <f>IF(F$3&gt;='Допущения'!$K$23,F$4*'Допущения'!$J$23*'Допущения'!$I$23,0)</f>
        <v/>
      </c>
      <c r="G63" s="15">
        <f>IF(G$3&gt;='Допущения'!$K$23,G$4*'Допущения'!$J$23*'Допущения'!$I$23,0)</f>
        <v/>
      </c>
      <c r="H63" s="15">
        <f>IF(H$3&gt;='Допущения'!$K$23,H$4*'Допущения'!$J$23*'Допущения'!$I$23,0)</f>
        <v/>
      </c>
      <c r="I63" s="15">
        <f>IF(I$3&gt;='Допущения'!$K$23,I$4*'Допущения'!$J$23*'Допущения'!$I$23,0)</f>
        <v/>
      </c>
      <c r="J63" s="15">
        <f>IF(J$3&gt;='Допущения'!$K$23,J$4*'Допущения'!$J$23*'Допущения'!$I$23,0)</f>
        <v/>
      </c>
      <c r="K63" s="15">
        <f>IF(K$3&gt;='Допущения'!$K$23,K$4*'Допущения'!$J$23*'Допущения'!$I$23,0)</f>
        <v/>
      </c>
      <c r="L63" s="15">
        <f>IF(L$3&gt;='Допущения'!$K$23,L$4*'Допущения'!$J$23*'Допущения'!$I$23,0)</f>
        <v/>
      </c>
      <c r="M63" s="15">
        <f>IF(M$3&gt;='Допущения'!$K$23,M$4*'Допущения'!$J$23*'Допущения'!$I$23,0)</f>
        <v/>
      </c>
      <c r="N63" s="15">
        <f>IF(N$3&gt;='Допущения'!$K$23,N$4*'Допущения'!$J$23*'Допущения'!$I$23,0)</f>
        <v/>
      </c>
      <c r="O63" s="15">
        <f>IF(O$3&gt;='Допущения'!$K$23,O$4*'Допущения'!$J$23*'Допущения'!$I$23,0)</f>
        <v/>
      </c>
      <c r="P63" s="15">
        <f>IF(P$3&gt;='Допущения'!$K$23,P$4*'Допущения'!$J$23*'Допущения'!$I$23,0)</f>
        <v/>
      </c>
      <c r="Q63" s="15">
        <f>IF(Q$3&gt;='Допущения'!$K$23,Q$4*'Допущения'!$J$23*'Допущения'!$I$23,0)</f>
        <v/>
      </c>
      <c r="R63" s="15">
        <f>IF(R$3&gt;='Допущения'!$K$23,R$4*'Допущения'!$J$23*'Допущения'!$I$23,0)</f>
        <v/>
      </c>
      <c r="S63" s="15">
        <f>IF(S$3&gt;='Допущения'!$K$23,S$4*'Допущения'!$J$23*'Допущения'!$I$23,0)</f>
        <v/>
      </c>
      <c r="T63" s="15">
        <f>IF(T$3&gt;='Допущения'!$K$23,T$4*'Допущения'!$J$23*'Допущения'!$I$23,0)</f>
        <v/>
      </c>
      <c r="U63" s="15">
        <f>IF(U$3&gt;='Допущения'!$K$23,U$4*'Допущения'!$J$23*'Допущения'!$I$23,0)</f>
        <v/>
      </c>
      <c r="V63" s="15">
        <f>IF(V$3&gt;='Допущения'!$K$23,V$4*'Допущения'!$J$23*'Допущения'!$I$23,0)</f>
        <v/>
      </c>
      <c r="W63" s="15">
        <f>IF(W$3&gt;='Допущения'!$K$23,W$4*'Допущения'!$J$23*'Допущения'!$I$23,0)</f>
        <v/>
      </c>
      <c r="X63" s="15">
        <f>IF(X$3&gt;='Допущения'!$K$23,X$4*'Допущения'!$J$23*'Допущения'!$I$23,0)</f>
        <v/>
      </c>
      <c r="Y63" s="15">
        <f>IF(Y$3&gt;='Допущения'!$K$23,Y$4*'Допущения'!$J$23*'Допущения'!$I$23,0)</f>
        <v/>
      </c>
      <c r="Z63" s="15">
        <f>IF(Z$3&gt;='Допущения'!$K$23,Z$4*'Допущения'!$J$23*'Допущения'!$I$23,0)</f>
        <v/>
      </c>
      <c r="AA63" s="15">
        <f>IF(AA$3&gt;='Допущения'!$K$23,AA$4*'Допущения'!$J$23*'Допущения'!$I$23,0)</f>
        <v/>
      </c>
      <c r="AB63" s="15">
        <f>SUM(D63:AA63)</f>
        <v/>
      </c>
    </row>
    <row r="64">
      <c r="A64" t="inlineStr">
        <is>
          <t>C09</t>
        </is>
      </c>
      <c r="B64" t="inlineStr">
        <is>
          <t>Smart access (на дверь)</t>
        </is>
      </c>
      <c r="C64" t="inlineStr">
        <is>
          <t>ACTU</t>
        </is>
      </c>
      <c r="D64" s="15">
        <f>D63</f>
        <v/>
      </c>
      <c r="E64" s="15">
        <f>D64*(1-'Допущения'!$C$6)+E63</f>
        <v/>
      </c>
      <c r="F64" s="15">
        <f>E64*(1-'Допущения'!$C$6)+F63</f>
        <v/>
      </c>
      <c r="G64" s="15">
        <f>F64*(1-'Допущения'!$C$6)+G63</f>
        <v/>
      </c>
      <c r="H64" s="15">
        <f>G64*(1-'Допущения'!$C$6)+H63</f>
        <v/>
      </c>
      <c r="I64" s="15">
        <f>H64*(1-'Допущения'!$C$6)+I63</f>
        <v/>
      </c>
      <c r="J64" s="15">
        <f>I64*(1-'Допущения'!$C$6)+J63</f>
        <v/>
      </c>
      <c r="K64" s="15">
        <f>J64*(1-'Допущения'!$C$6)+K63</f>
        <v/>
      </c>
      <c r="L64" s="15">
        <f>K64*(1-'Допущения'!$C$6)+L63</f>
        <v/>
      </c>
      <c r="M64" s="15">
        <f>L64*(1-'Допущения'!$C$6)+M63</f>
        <v/>
      </c>
      <c r="N64" s="15">
        <f>M64*(1-'Допущения'!$C$6)+N63</f>
        <v/>
      </c>
      <c r="O64" s="15">
        <f>N64*(1-'Допущения'!$C$6)+O63</f>
        <v/>
      </c>
      <c r="P64" s="15">
        <f>O64*(1-'Допущения'!$C$6)+P63</f>
        <v/>
      </c>
      <c r="Q64" s="15">
        <f>P64*(1-'Допущения'!$C$6)+Q63</f>
        <v/>
      </c>
      <c r="R64" s="15">
        <f>Q64*(1-'Допущения'!$C$6)+R63</f>
        <v/>
      </c>
      <c r="S64" s="15">
        <f>R64*(1-'Допущения'!$C$6)+S63</f>
        <v/>
      </c>
      <c r="T64" s="15">
        <f>S64*(1-'Допущения'!$C$6)+T63</f>
        <v/>
      </c>
      <c r="U64" s="15">
        <f>T64*(1-'Допущения'!$C$6)+U63</f>
        <v/>
      </c>
      <c r="V64" s="15">
        <f>U64*(1-'Допущения'!$C$6)+V63</f>
        <v/>
      </c>
      <c r="W64" s="15">
        <f>V64*(1-'Допущения'!$C$6)+W63</f>
        <v/>
      </c>
      <c r="X64" s="15">
        <f>W64*(1-'Допущения'!$C$6)+X63</f>
        <v/>
      </c>
      <c r="Y64" s="15">
        <f>X64*(1-'Допущения'!$C$6)+Y63</f>
        <v/>
      </c>
      <c r="Z64" s="15">
        <f>Y64*(1-'Допущения'!$C$6)+Z63</f>
        <v/>
      </c>
      <c r="AA64" s="15">
        <f>Z64*(1-'Допущения'!$C$6)+AA63</f>
        <v/>
      </c>
      <c r="AB64" s="15">
        <f>SUM(D64:AA64)</f>
        <v/>
      </c>
    </row>
    <row r="65">
      <c r="A65" t="inlineStr">
        <is>
          <t>C09</t>
        </is>
      </c>
      <c r="B65" t="inlineStr">
        <is>
          <t>Smart access (на дверь)</t>
        </is>
      </c>
      <c r="C65" t="inlineStr">
        <is>
          <t>HWREV</t>
        </is>
      </c>
      <c r="D65" s="15">
        <f>D63*'Допущения'!$E$23</f>
        <v/>
      </c>
      <c r="E65" s="15">
        <f>E63*'Допущения'!$E$23</f>
        <v/>
      </c>
      <c r="F65" s="15">
        <f>F63*'Допущения'!$E$23</f>
        <v/>
      </c>
      <c r="G65" s="15">
        <f>G63*'Допущения'!$E$23</f>
        <v/>
      </c>
      <c r="H65" s="15">
        <f>H63*'Допущения'!$E$23</f>
        <v/>
      </c>
      <c r="I65" s="15">
        <f>I63*'Допущения'!$E$23</f>
        <v/>
      </c>
      <c r="J65" s="15">
        <f>J63*'Допущения'!$E$23</f>
        <v/>
      </c>
      <c r="K65" s="15">
        <f>K63*'Допущения'!$E$23</f>
        <v/>
      </c>
      <c r="L65" s="15">
        <f>L63*'Допущения'!$E$23</f>
        <v/>
      </c>
      <c r="M65" s="15">
        <f>M63*'Допущения'!$E$23</f>
        <v/>
      </c>
      <c r="N65" s="15">
        <f>N63*'Допущения'!$E$23</f>
        <v/>
      </c>
      <c r="O65" s="15">
        <f>O63*'Допущения'!$E$23</f>
        <v/>
      </c>
      <c r="P65" s="15">
        <f>P63*'Допущения'!$E$23</f>
        <v/>
      </c>
      <c r="Q65" s="15">
        <f>Q63*'Допущения'!$E$23</f>
        <v/>
      </c>
      <c r="R65" s="15">
        <f>R63*'Допущения'!$E$23</f>
        <v/>
      </c>
      <c r="S65" s="15">
        <f>S63*'Допущения'!$E$23</f>
        <v/>
      </c>
      <c r="T65" s="15">
        <f>T63*'Допущения'!$E$23</f>
        <v/>
      </c>
      <c r="U65" s="15">
        <f>U63*'Допущения'!$E$23</f>
        <v/>
      </c>
      <c r="V65" s="15">
        <f>V63*'Допущения'!$E$23</f>
        <v/>
      </c>
      <c r="W65" s="15">
        <f>W63*'Допущения'!$E$23</f>
        <v/>
      </c>
      <c r="X65" s="15">
        <f>X63*'Допущения'!$E$23</f>
        <v/>
      </c>
      <c r="Y65" s="15">
        <f>Y63*'Допущения'!$E$23</f>
        <v/>
      </c>
      <c r="Z65" s="15">
        <f>Z63*'Допущения'!$E$23</f>
        <v/>
      </c>
      <c r="AA65" s="15">
        <f>AA63*'Допущения'!$E$23</f>
        <v/>
      </c>
      <c r="AB65" s="15">
        <f>SUM(D65:AA65)</f>
        <v/>
      </c>
    </row>
    <row r="66">
      <c r="A66" t="inlineStr">
        <is>
          <t>C09</t>
        </is>
      </c>
      <c r="B66" t="inlineStr">
        <is>
          <t>Smart access (на дверь)</t>
        </is>
      </c>
      <c r="C66" t="inlineStr">
        <is>
          <t>RECREV</t>
        </is>
      </c>
      <c r="D66" s="15">
        <f>D64*'Допущения'!$F$23</f>
        <v/>
      </c>
      <c r="E66" s="15">
        <f>E64*'Допущения'!$F$23</f>
        <v/>
      </c>
      <c r="F66" s="15">
        <f>F64*'Допущения'!$F$23</f>
        <v/>
      </c>
      <c r="G66" s="15">
        <f>G64*'Допущения'!$F$23</f>
        <v/>
      </c>
      <c r="H66" s="15">
        <f>H64*'Допущения'!$F$23</f>
        <v/>
      </c>
      <c r="I66" s="15">
        <f>I64*'Допущения'!$F$23</f>
        <v/>
      </c>
      <c r="J66" s="15">
        <f>J64*'Допущения'!$F$23</f>
        <v/>
      </c>
      <c r="K66" s="15">
        <f>K64*'Допущения'!$F$23</f>
        <v/>
      </c>
      <c r="L66" s="15">
        <f>L64*'Допущения'!$F$23</f>
        <v/>
      </c>
      <c r="M66" s="15">
        <f>M64*'Допущения'!$F$23</f>
        <v/>
      </c>
      <c r="N66" s="15">
        <f>N64*'Допущения'!$F$23</f>
        <v/>
      </c>
      <c r="O66" s="15">
        <f>O64*'Допущения'!$F$23</f>
        <v/>
      </c>
      <c r="P66" s="15">
        <f>P64*'Допущения'!$F$23</f>
        <v/>
      </c>
      <c r="Q66" s="15">
        <f>Q64*'Допущения'!$F$23</f>
        <v/>
      </c>
      <c r="R66" s="15">
        <f>R64*'Допущения'!$F$23</f>
        <v/>
      </c>
      <c r="S66" s="15">
        <f>S64*'Допущения'!$F$23</f>
        <v/>
      </c>
      <c r="T66" s="15">
        <f>T64*'Допущения'!$F$23</f>
        <v/>
      </c>
      <c r="U66" s="15">
        <f>U64*'Допущения'!$F$23</f>
        <v/>
      </c>
      <c r="V66" s="15">
        <f>V64*'Допущения'!$F$23</f>
        <v/>
      </c>
      <c r="W66" s="15">
        <f>W64*'Допущения'!$F$23</f>
        <v/>
      </c>
      <c r="X66" s="15">
        <f>X64*'Допущения'!$F$23</f>
        <v/>
      </c>
      <c r="Y66" s="15">
        <f>Y64*'Допущения'!$F$23</f>
        <v/>
      </c>
      <c r="Z66" s="15">
        <f>Z64*'Допущения'!$F$23</f>
        <v/>
      </c>
      <c r="AA66" s="15">
        <f>AA64*'Допущения'!$F$23</f>
        <v/>
      </c>
      <c r="AB66" s="15">
        <f>SUM(D66:AA66)</f>
        <v/>
      </c>
    </row>
    <row r="67">
      <c r="A67" t="inlineStr">
        <is>
          <t>C09</t>
        </is>
      </c>
      <c r="B67" t="inlineStr">
        <is>
          <t>Smart access (на дверь)</t>
        </is>
      </c>
      <c r="C67" t="inlineStr">
        <is>
          <t>TXNREV</t>
        </is>
      </c>
      <c r="D67" s="15">
        <f>D64*'Допущения'!$G$23</f>
        <v/>
      </c>
      <c r="E67" s="15">
        <f>E64*'Допущения'!$G$23</f>
        <v/>
      </c>
      <c r="F67" s="15">
        <f>F64*'Допущения'!$G$23</f>
        <v/>
      </c>
      <c r="G67" s="15">
        <f>G64*'Допущения'!$G$23</f>
        <v/>
      </c>
      <c r="H67" s="15">
        <f>H64*'Допущения'!$G$23</f>
        <v/>
      </c>
      <c r="I67" s="15">
        <f>I64*'Допущения'!$G$23</f>
        <v/>
      </c>
      <c r="J67" s="15">
        <f>J64*'Допущения'!$G$23</f>
        <v/>
      </c>
      <c r="K67" s="15">
        <f>K64*'Допущения'!$G$23</f>
        <v/>
      </c>
      <c r="L67" s="15">
        <f>L64*'Допущения'!$G$23</f>
        <v/>
      </c>
      <c r="M67" s="15">
        <f>M64*'Допущения'!$G$23</f>
        <v/>
      </c>
      <c r="N67" s="15">
        <f>N64*'Допущения'!$G$23</f>
        <v/>
      </c>
      <c r="O67" s="15">
        <f>O64*'Допущения'!$G$23</f>
        <v/>
      </c>
      <c r="P67" s="15">
        <f>P64*'Допущения'!$G$23</f>
        <v/>
      </c>
      <c r="Q67" s="15">
        <f>Q64*'Допущения'!$G$23</f>
        <v/>
      </c>
      <c r="R67" s="15">
        <f>R64*'Допущения'!$G$23</f>
        <v/>
      </c>
      <c r="S67" s="15">
        <f>S64*'Допущения'!$G$23</f>
        <v/>
      </c>
      <c r="T67" s="15">
        <f>T64*'Допущения'!$G$23</f>
        <v/>
      </c>
      <c r="U67" s="15">
        <f>U64*'Допущения'!$G$23</f>
        <v/>
      </c>
      <c r="V67" s="15">
        <f>V64*'Допущения'!$G$23</f>
        <v/>
      </c>
      <c r="W67" s="15">
        <f>W64*'Допущения'!$G$23</f>
        <v/>
      </c>
      <c r="X67" s="15">
        <f>X64*'Допущения'!$G$23</f>
        <v/>
      </c>
      <c r="Y67" s="15">
        <f>Y64*'Допущения'!$G$23</f>
        <v/>
      </c>
      <c r="Z67" s="15">
        <f>Z64*'Допущения'!$G$23</f>
        <v/>
      </c>
      <c r="AA67" s="15">
        <f>AA64*'Допущения'!$G$23</f>
        <v/>
      </c>
      <c r="AB67" s="15">
        <f>SUM(D67:AA67)</f>
        <v/>
      </c>
    </row>
    <row r="68">
      <c r="A68" t="inlineStr">
        <is>
          <t>C09</t>
        </is>
      </c>
      <c r="B68" t="inlineStr">
        <is>
          <t>Smart access (на дверь)</t>
        </is>
      </c>
      <c r="C68" t="inlineStr">
        <is>
          <t>COGS</t>
        </is>
      </c>
      <c r="D68" s="15">
        <f>D63*('Допущения'!$C$23+'Допущения'!$D$23)</f>
        <v/>
      </c>
      <c r="E68" s="15">
        <f>E63*('Допущения'!$C$23+'Допущения'!$D$23)</f>
        <v/>
      </c>
      <c r="F68" s="15">
        <f>F63*('Допущения'!$C$23+'Допущения'!$D$23)</f>
        <v/>
      </c>
      <c r="G68" s="15">
        <f>G63*('Допущения'!$C$23+'Допущения'!$D$23)</f>
        <v/>
      </c>
      <c r="H68" s="15">
        <f>H63*('Допущения'!$C$23+'Допущения'!$D$23)</f>
        <v/>
      </c>
      <c r="I68" s="15">
        <f>I63*('Допущения'!$C$23+'Допущения'!$D$23)</f>
        <v/>
      </c>
      <c r="J68" s="15">
        <f>J63*('Допущения'!$C$23+'Допущения'!$D$23)</f>
        <v/>
      </c>
      <c r="K68" s="15">
        <f>K63*('Допущения'!$C$23+'Допущения'!$D$23)</f>
        <v/>
      </c>
      <c r="L68" s="15">
        <f>L63*('Допущения'!$C$23+'Допущения'!$D$23)</f>
        <v/>
      </c>
      <c r="M68" s="15">
        <f>M63*('Допущения'!$C$23+'Допущения'!$D$23)</f>
        <v/>
      </c>
      <c r="N68" s="15">
        <f>N63*('Допущения'!$C$23+'Допущения'!$D$23)</f>
        <v/>
      </c>
      <c r="O68" s="15">
        <f>O63*('Допущения'!$C$23+'Допущения'!$D$23)</f>
        <v/>
      </c>
      <c r="P68" s="15">
        <f>P63*('Допущения'!$C$23+'Допущения'!$D$23)</f>
        <v/>
      </c>
      <c r="Q68" s="15">
        <f>Q63*('Допущения'!$C$23+'Допущения'!$D$23)</f>
        <v/>
      </c>
      <c r="R68" s="15">
        <f>R63*('Допущения'!$C$23+'Допущения'!$D$23)</f>
        <v/>
      </c>
      <c r="S68" s="15">
        <f>S63*('Допущения'!$C$23+'Допущения'!$D$23)</f>
        <v/>
      </c>
      <c r="T68" s="15">
        <f>T63*('Допущения'!$C$23+'Допущения'!$D$23)</f>
        <v/>
      </c>
      <c r="U68" s="15">
        <f>U63*('Допущения'!$C$23+'Допущения'!$D$23)</f>
        <v/>
      </c>
      <c r="V68" s="15">
        <f>V63*('Допущения'!$C$23+'Допущения'!$D$23)</f>
        <v/>
      </c>
      <c r="W68" s="15">
        <f>W63*('Допущения'!$C$23+'Допущения'!$D$23)</f>
        <v/>
      </c>
      <c r="X68" s="15">
        <f>X63*('Допущения'!$C$23+'Допущения'!$D$23)</f>
        <v/>
      </c>
      <c r="Y68" s="15">
        <f>Y63*('Допущения'!$C$23+'Допущения'!$D$23)</f>
        <v/>
      </c>
      <c r="Z68" s="15">
        <f>Z63*('Допущения'!$C$23+'Допущения'!$D$23)</f>
        <v/>
      </c>
      <c r="AA68" s="15">
        <f>AA63*('Допущения'!$C$23+'Допущения'!$D$23)</f>
        <v/>
      </c>
      <c r="AB68" s="15">
        <f>SUM(D68:AA68)</f>
        <v/>
      </c>
    </row>
    <row r="69">
      <c r="A69" t="inlineStr">
        <is>
          <t>C09</t>
        </is>
      </c>
      <c r="B69" t="inlineStr">
        <is>
          <t>Smart access (на дверь)</t>
        </is>
      </c>
      <c r="C69" t="inlineStr">
        <is>
          <t>VARC</t>
        </is>
      </c>
      <c r="D69" s="15">
        <f>D64*'Допущения'!$H$23</f>
        <v/>
      </c>
      <c r="E69" s="15">
        <f>E64*'Допущения'!$H$23</f>
        <v/>
      </c>
      <c r="F69" s="15">
        <f>F64*'Допущения'!$H$23</f>
        <v/>
      </c>
      <c r="G69" s="15">
        <f>G64*'Допущения'!$H$23</f>
        <v/>
      </c>
      <c r="H69" s="15">
        <f>H64*'Допущения'!$H$23</f>
        <v/>
      </c>
      <c r="I69" s="15">
        <f>I64*'Допущения'!$H$23</f>
        <v/>
      </c>
      <c r="J69" s="15">
        <f>J64*'Допущения'!$H$23</f>
        <v/>
      </c>
      <c r="K69" s="15">
        <f>K64*'Допущения'!$H$23</f>
        <v/>
      </c>
      <c r="L69" s="15">
        <f>L64*'Допущения'!$H$23</f>
        <v/>
      </c>
      <c r="M69" s="15">
        <f>M64*'Допущения'!$H$23</f>
        <v/>
      </c>
      <c r="N69" s="15">
        <f>N64*'Допущения'!$H$23</f>
        <v/>
      </c>
      <c r="O69" s="15">
        <f>O64*'Допущения'!$H$23</f>
        <v/>
      </c>
      <c r="P69" s="15">
        <f>P64*'Допущения'!$H$23</f>
        <v/>
      </c>
      <c r="Q69" s="15">
        <f>Q64*'Допущения'!$H$23</f>
        <v/>
      </c>
      <c r="R69" s="15">
        <f>R64*'Допущения'!$H$23</f>
        <v/>
      </c>
      <c r="S69" s="15">
        <f>S64*'Допущения'!$H$23</f>
        <v/>
      </c>
      <c r="T69" s="15">
        <f>T64*'Допущения'!$H$23</f>
        <v/>
      </c>
      <c r="U69" s="15">
        <f>U64*'Допущения'!$H$23</f>
        <v/>
      </c>
      <c r="V69" s="15">
        <f>V64*'Допущения'!$H$23</f>
        <v/>
      </c>
      <c r="W69" s="15">
        <f>W64*'Допущения'!$H$23</f>
        <v/>
      </c>
      <c r="X69" s="15">
        <f>X64*'Допущения'!$H$23</f>
        <v/>
      </c>
      <c r="Y69" s="15">
        <f>Y64*'Допущения'!$H$23</f>
        <v/>
      </c>
      <c r="Z69" s="15">
        <f>Z64*'Допущения'!$H$23</f>
        <v/>
      </c>
      <c r="AA69" s="15">
        <f>AA64*'Допущения'!$H$23</f>
        <v/>
      </c>
      <c r="AB69" s="15">
        <f>SUM(D69:AA69)</f>
        <v/>
      </c>
    </row>
    <row r="70">
      <c r="A70" t="inlineStr">
        <is>
          <t>C10</t>
        </is>
      </c>
      <c r="B70" t="inlineStr">
        <is>
          <t>Датчики Healthy Room (на номер)</t>
        </is>
      </c>
      <c r="C70" t="inlineStr">
        <is>
          <t>NEWU</t>
        </is>
      </c>
      <c r="D70" s="15">
        <f>IF(D$3&gt;='Допущения'!$K$24,D$4*'Допущения'!$J$24*'Допущения'!$I$24,0)</f>
        <v/>
      </c>
      <c r="E70" s="15">
        <f>IF(E$3&gt;='Допущения'!$K$24,E$4*'Допущения'!$J$24*'Допущения'!$I$24,0)</f>
        <v/>
      </c>
      <c r="F70" s="15">
        <f>IF(F$3&gt;='Допущения'!$K$24,F$4*'Допущения'!$J$24*'Допущения'!$I$24,0)</f>
        <v/>
      </c>
      <c r="G70" s="15">
        <f>IF(G$3&gt;='Допущения'!$K$24,G$4*'Допущения'!$J$24*'Допущения'!$I$24,0)</f>
        <v/>
      </c>
      <c r="H70" s="15">
        <f>IF(H$3&gt;='Допущения'!$K$24,H$4*'Допущения'!$J$24*'Допущения'!$I$24,0)</f>
        <v/>
      </c>
      <c r="I70" s="15">
        <f>IF(I$3&gt;='Допущения'!$K$24,I$4*'Допущения'!$J$24*'Допущения'!$I$24,0)</f>
        <v/>
      </c>
      <c r="J70" s="15">
        <f>IF(J$3&gt;='Допущения'!$K$24,J$4*'Допущения'!$J$24*'Допущения'!$I$24,0)</f>
        <v/>
      </c>
      <c r="K70" s="15">
        <f>IF(K$3&gt;='Допущения'!$K$24,K$4*'Допущения'!$J$24*'Допущения'!$I$24,0)</f>
        <v/>
      </c>
      <c r="L70" s="15">
        <f>IF(L$3&gt;='Допущения'!$K$24,L$4*'Допущения'!$J$24*'Допущения'!$I$24,0)</f>
        <v/>
      </c>
      <c r="M70" s="15">
        <f>IF(M$3&gt;='Допущения'!$K$24,M$4*'Допущения'!$J$24*'Допущения'!$I$24,0)</f>
        <v/>
      </c>
      <c r="N70" s="15">
        <f>IF(N$3&gt;='Допущения'!$K$24,N$4*'Допущения'!$J$24*'Допущения'!$I$24,0)</f>
        <v/>
      </c>
      <c r="O70" s="15">
        <f>IF(O$3&gt;='Допущения'!$K$24,O$4*'Допущения'!$J$24*'Допущения'!$I$24,0)</f>
        <v/>
      </c>
      <c r="P70" s="15">
        <f>IF(P$3&gt;='Допущения'!$K$24,P$4*'Допущения'!$J$24*'Допущения'!$I$24,0)</f>
        <v/>
      </c>
      <c r="Q70" s="15">
        <f>IF(Q$3&gt;='Допущения'!$K$24,Q$4*'Допущения'!$J$24*'Допущения'!$I$24,0)</f>
        <v/>
      </c>
      <c r="R70" s="15">
        <f>IF(R$3&gt;='Допущения'!$K$24,R$4*'Допущения'!$J$24*'Допущения'!$I$24,0)</f>
        <v/>
      </c>
      <c r="S70" s="15">
        <f>IF(S$3&gt;='Допущения'!$K$24,S$4*'Допущения'!$J$24*'Допущения'!$I$24,0)</f>
        <v/>
      </c>
      <c r="T70" s="15">
        <f>IF(T$3&gt;='Допущения'!$K$24,T$4*'Допущения'!$J$24*'Допущения'!$I$24,0)</f>
        <v/>
      </c>
      <c r="U70" s="15">
        <f>IF(U$3&gt;='Допущения'!$K$24,U$4*'Допущения'!$J$24*'Допущения'!$I$24,0)</f>
        <v/>
      </c>
      <c r="V70" s="15">
        <f>IF(V$3&gt;='Допущения'!$K$24,V$4*'Допущения'!$J$24*'Допущения'!$I$24,0)</f>
        <v/>
      </c>
      <c r="W70" s="15">
        <f>IF(W$3&gt;='Допущения'!$K$24,W$4*'Допущения'!$J$24*'Допущения'!$I$24,0)</f>
        <v/>
      </c>
      <c r="X70" s="15">
        <f>IF(X$3&gt;='Допущения'!$K$24,X$4*'Допущения'!$J$24*'Допущения'!$I$24,0)</f>
        <v/>
      </c>
      <c r="Y70" s="15">
        <f>IF(Y$3&gt;='Допущения'!$K$24,Y$4*'Допущения'!$J$24*'Допущения'!$I$24,0)</f>
        <v/>
      </c>
      <c r="Z70" s="15">
        <f>IF(Z$3&gt;='Допущения'!$K$24,Z$4*'Допущения'!$J$24*'Допущения'!$I$24,0)</f>
        <v/>
      </c>
      <c r="AA70" s="15">
        <f>IF(AA$3&gt;='Допущения'!$K$24,AA$4*'Допущения'!$J$24*'Допущения'!$I$24,0)</f>
        <v/>
      </c>
      <c r="AB70" s="15">
        <f>SUM(D70:AA70)</f>
        <v/>
      </c>
    </row>
    <row r="71">
      <c r="A71" t="inlineStr">
        <is>
          <t>C10</t>
        </is>
      </c>
      <c r="B71" t="inlineStr">
        <is>
          <t>Датчики Healthy Room (на номер)</t>
        </is>
      </c>
      <c r="C71" t="inlineStr">
        <is>
          <t>ACTU</t>
        </is>
      </c>
      <c r="D71" s="15">
        <f>D70</f>
        <v/>
      </c>
      <c r="E71" s="15">
        <f>D71*(1-'Допущения'!$C$6)+E70</f>
        <v/>
      </c>
      <c r="F71" s="15">
        <f>E71*(1-'Допущения'!$C$6)+F70</f>
        <v/>
      </c>
      <c r="G71" s="15">
        <f>F71*(1-'Допущения'!$C$6)+G70</f>
        <v/>
      </c>
      <c r="H71" s="15">
        <f>G71*(1-'Допущения'!$C$6)+H70</f>
        <v/>
      </c>
      <c r="I71" s="15">
        <f>H71*(1-'Допущения'!$C$6)+I70</f>
        <v/>
      </c>
      <c r="J71" s="15">
        <f>I71*(1-'Допущения'!$C$6)+J70</f>
        <v/>
      </c>
      <c r="K71" s="15">
        <f>J71*(1-'Допущения'!$C$6)+K70</f>
        <v/>
      </c>
      <c r="L71" s="15">
        <f>K71*(1-'Допущения'!$C$6)+L70</f>
        <v/>
      </c>
      <c r="M71" s="15">
        <f>L71*(1-'Допущения'!$C$6)+M70</f>
        <v/>
      </c>
      <c r="N71" s="15">
        <f>M71*(1-'Допущения'!$C$6)+N70</f>
        <v/>
      </c>
      <c r="O71" s="15">
        <f>N71*(1-'Допущения'!$C$6)+O70</f>
        <v/>
      </c>
      <c r="P71" s="15">
        <f>O71*(1-'Допущения'!$C$6)+P70</f>
        <v/>
      </c>
      <c r="Q71" s="15">
        <f>P71*(1-'Допущения'!$C$6)+Q70</f>
        <v/>
      </c>
      <c r="R71" s="15">
        <f>Q71*(1-'Допущения'!$C$6)+R70</f>
        <v/>
      </c>
      <c r="S71" s="15">
        <f>R71*(1-'Допущения'!$C$6)+S70</f>
        <v/>
      </c>
      <c r="T71" s="15">
        <f>S71*(1-'Допущения'!$C$6)+T70</f>
        <v/>
      </c>
      <c r="U71" s="15">
        <f>T71*(1-'Допущения'!$C$6)+U70</f>
        <v/>
      </c>
      <c r="V71" s="15">
        <f>U71*(1-'Допущения'!$C$6)+V70</f>
        <v/>
      </c>
      <c r="W71" s="15">
        <f>V71*(1-'Допущения'!$C$6)+W70</f>
        <v/>
      </c>
      <c r="X71" s="15">
        <f>W71*(1-'Допущения'!$C$6)+X70</f>
        <v/>
      </c>
      <c r="Y71" s="15">
        <f>X71*(1-'Допущения'!$C$6)+Y70</f>
        <v/>
      </c>
      <c r="Z71" s="15">
        <f>Y71*(1-'Допущения'!$C$6)+Z70</f>
        <v/>
      </c>
      <c r="AA71" s="15">
        <f>Z71*(1-'Допущения'!$C$6)+AA70</f>
        <v/>
      </c>
      <c r="AB71" s="15">
        <f>SUM(D71:AA71)</f>
        <v/>
      </c>
    </row>
    <row r="72">
      <c r="A72" t="inlineStr">
        <is>
          <t>C10</t>
        </is>
      </c>
      <c r="B72" t="inlineStr">
        <is>
          <t>Датчики Healthy Room (на номер)</t>
        </is>
      </c>
      <c r="C72" t="inlineStr">
        <is>
          <t>HWREV</t>
        </is>
      </c>
      <c r="D72" s="15">
        <f>D70*'Допущения'!$E$24</f>
        <v/>
      </c>
      <c r="E72" s="15">
        <f>E70*'Допущения'!$E$24</f>
        <v/>
      </c>
      <c r="F72" s="15">
        <f>F70*'Допущения'!$E$24</f>
        <v/>
      </c>
      <c r="G72" s="15">
        <f>G70*'Допущения'!$E$24</f>
        <v/>
      </c>
      <c r="H72" s="15">
        <f>H70*'Допущения'!$E$24</f>
        <v/>
      </c>
      <c r="I72" s="15">
        <f>I70*'Допущения'!$E$24</f>
        <v/>
      </c>
      <c r="J72" s="15">
        <f>J70*'Допущения'!$E$24</f>
        <v/>
      </c>
      <c r="K72" s="15">
        <f>K70*'Допущения'!$E$24</f>
        <v/>
      </c>
      <c r="L72" s="15">
        <f>L70*'Допущения'!$E$24</f>
        <v/>
      </c>
      <c r="M72" s="15">
        <f>M70*'Допущения'!$E$24</f>
        <v/>
      </c>
      <c r="N72" s="15">
        <f>N70*'Допущения'!$E$24</f>
        <v/>
      </c>
      <c r="O72" s="15">
        <f>O70*'Допущения'!$E$24</f>
        <v/>
      </c>
      <c r="P72" s="15">
        <f>P70*'Допущения'!$E$24</f>
        <v/>
      </c>
      <c r="Q72" s="15">
        <f>Q70*'Допущения'!$E$24</f>
        <v/>
      </c>
      <c r="R72" s="15">
        <f>R70*'Допущения'!$E$24</f>
        <v/>
      </c>
      <c r="S72" s="15">
        <f>S70*'Допущения'!$E$24</f>
        <v/>
      </c>
      <c r="T72" s="15">
        <f>T70*'Допущения'!$E$24</f>
        <v/>
      </c>
      <c r="U72" s="15">
        <f>U70*'Допущения'!$E$24</f>
        <v/>
      </c>
      <c r="V72" s="15">
        <f>V70*'Допущения'!$E$24</f>
        <v/>
      </c>
      <c r="W72" s="15">
        <f>W70*'Допущения'!$E$24</f>
        <v/>
      </c>
      <c r="X72" s="15">
        <f>X70*'Допущения'!$E$24</f>
        <v/>
      </c>
      <c r="Y72" s="15">
        <f>Y70*'Допущения'!$E$24</f>
        <v/>
      </c>
      <c r="Z72" s="15">
        <f>Z70*'Допущения'!$E$24</f>
        <v/>
      </c>
      <c r="AA72" s="15">
        <f>AA70*'Допущения'!$E$24</f>
        <v/>
      </c>
      <c r="AB72" s="15">
        <f>SUM(D72:AA72)</f>
        <v/>
      </c>
    </row>
    <row r="73">
      <c r="A73" t="inlineStr">
        <is>
          <t>C10</t>
        </is>
      </c>
      <c r="B73" t="inlineStr">
        <is>
          <t>Датчики Healthy Room (на номер)</t>
        </is>
      </c>
      <c r="C73" t="inlineStr">
        <is>
          <t>RECREV</t>
        </is>
      </c>
      <c r="D73" s="15">
        <f>D71*'Допущения'!$F$24</f>
        <v/>
      </c>
      <c r="E73" s="15">
        <f>E71*'Допущения'!$F$24</f>
        <v/>
      </c>
      <c r="F73" s="15">
        <f>F71*'Допущения'!$F$24</f>
        <v/>
      </c>
      <c r="G73" s="15">
        <f>G71*'Допущения'!$F$24</f>
        <v/>
      </c>
      <c r="H73" s="15">
        <f>H71*'Допущения'!$F$24</f>
        <v/>
      </c>
      <c r="I73" s="15">
        <f>I71*'Допущения'!$F$24</f>
        <v/>
      </c>
      <c r="J73" s="15">
        <f>J71*'Допущения'!$F$24</f>
        <v/>
      </c>
      <c r="K73" s="15">
        <f>K71*'Допущения'!$F$24</f>
        <v/>
      </c>
      <c r="L73" s="15">
        <f>L71*'Допущения'!$F$24</f>
        <v/>
      </c>
      <c r="M73" s="15">
        <f>M71*'Допущения'!$F$24</f>
        <v/>
      </c>
      <c r="N73" s="15">
        <f>N71*'Допущения'!$F$24</f>
        <v/>
      </c>
      <c r="O73" s="15">
        <f>O71*'Допущения'!$F$24</f>
        <v/>
      </c>
      <c r="P73" s="15">
        <f>P71*'Допущения'!$F$24</f>
        <v/>
      </c>
      <c r="Q73" s="15">
        <f>Q71*'Допущения'!$F$24</f>
        <v/>
      </c>
      <c r="R73" s="15">
        <f>R71*'Допущения'!$F$24</f>
        <v/>
      </c>
      <c r="S73" s="15">
        <f>S71*'Допущения'!$F$24</f>
        <v/>
      </c>
      <c r="T73" s="15">
        <f>T71*'Допущения'!$F$24</f>
        <v/>
      </c>
      <c r="U73" s="15">
        <f>U71*'Допущения'!$F$24</f>
        <v/>
      </c>
      <c r="V73" s="15">
        <f>V71*'Допущения'!$F$24</f>
        <v/>
      </c>
      <c r="W73" s="15">
        <f>W71*'Допущения'!$F$24</f>
        <v/>
      </c>
      <c r="X73" s="15">
        <f>X71*'Допущения'!$F$24</f>
        <v/>
      </c>
      <c r="Y73" s="15">
        <f>Y71*'Допущения'!$F$24</f>
        <v/>
      </c>
      <c r="Z73" s="15">
        <f>Z71*'Допущения'!$F$24</f>
        <v/>
      </c>
      <c r="AA73" s="15">
        <f>AA71*'Допущения'!$F$24</f>
        <v/>
      </c>
      <c r="AB73" s="15">
        <f>SUM(D73:AA73)</f>
        <v/>
      </c>
    </row>
    <row r="74">
      <c r="A74" t="inlineStr">
        <is>
          <t>C10</t>
        </is>
      </c>
      <c r="B74" t="inlineStr">
        <is>
          <t>Датчики Healthy Room (на номер)</t>
        </is>
      </c>
      <c r="C74" t="inlineStr">
        <is>
          <t>TXNREV</t>
        </is>
      </c>
      <c r="D74" s="15">
        <f>D71*'Допущения'!$G$24</f>
        <v/>
      </c>
      <c r="E74" s="15">
        <f>E71*'Допущения'!$G$24</f>
        <v/>
      </c>
      <c r="F74" s="15">
        <f>F71*'Допущения'!$G$24</f>
        <v/>
      </c>
      <c r="G74" s="15">
        <f>G71*'Допущения'!$G$24</f>
        <v/>
      </c>
      <c r="H74" s="15">
        <f>H71*'Допущения'!$G$24</f>
        <v/>
      </c>
      <c r="I74" s="15">
        <f>I71*'Допущения'!$G$24</f>
        <v/>
      </c>
      <c r="J74" s="15">
        <f>J71*'Допущения'!$G$24</f>
        <v/>
      </c>
      <c r="K74" s="15">
        <f>K71*'Допущения'!$G$24</f>
        <v/>
      </c>
      <c r="L74" s="15">
        <f>L71*'Допущения'!$G$24</f>
        <v/>
      </c>
      <c r="M74" s="15">
        <f>M71*'Допущения'!$G$24</f>
        <v/>
      </c>
      <c r="N74" s="15">
        <f>N71*'Допущения'!$G$24</f>
        <v/>
      </c>
      <c r="O74" s="15">
        <f>O71*'Допущения'!$G$24</f>
        <v/>
      </c>
      <c r="P74" s="15">
        <f>P71*'Допущения'!$G$24</f>
        <v/>
      </c>
      <c r="Q74" s="15">
        <f>Q71*'Допущения'!$G$24</f>
        <v/>
      </c>
      <c r="R74" s="15">
        <f>R71*'Допущения'!$G$24</f>
        <v/>
      </c>
      <c r="S74" s="15">
        <f>S71*'Допущения'!$G$24</f>
        <v/>
      </c>
      <c r="T74" s="15">
        <f>T71*'Допущения'!$G$24</f>
        <v/>
      </c>
      <c r="U74" s="15">
        <f>U71*'Допущения'!$G$24</f>
        <v/>
      </c>
      <c r="V74" s="15">
        <f>V71*'Допущения'!$G$24</f>
        <v/>
      </c>
      <c r="W74" s="15">
        <f>W71*'Допущения'!$G$24</f>
        <v/>
      </c>
      <c r="X74" s="15">
        <f>X71*'Допущения'!$G$24</f>
        <v/>
      </c>
      <c r="Y74" s="15">
        <f>Y71*'Допущения'!$G$24</f>
        <v/>
      </c>
      <c r="Z74" s="15">
        <f>Z71*'Допущения'!$G$24</f>
        <v/>
      </c>
      <c r="AA74" s="15">
        <f>AA71*'Допущения'!$G$24</f>
        <v/>
      </c>
      <c r="AB74" s="15">
        <f>SUM(D74:AA74)</f>
        <v/>
      </c>
    </row>
    <row r="75">
      <c r="A75" t="inlineStr">
        <is>
          <t>C10</t>
        </is>
      </c>
      <c r="B75" t="inlineStr">
        <is>
          <t>Датчики Healthy Room (на номер)</t>
        </is>
      </c>
      <c r="C75" t="inlineStr">
        <is>
          <t>COGS</t>
        </is>
      </c>
      <c r="D75" s="15">
        <f>D70*('Допущения'!$C$24+'Допущения'!$D$24)</f>
        <v/>
      </c>
      <c r="E75" s="15">
        <f>E70*('Допущения'!$C$24+'Допущения'!$D$24)</f>
        <v/>
      </c>
      <c r="F75" s="15">
        <f>F70*('Допущения'!$C$24+'Допущения'!$D$24)</f>
        <v/>
      </c>
      <c r="G75" s="15">
        <f>G70*('Допущения'!$C$24+'Допущения'!$D$24)</f>
        <v/>
      </c>
      <c r="H75" s="15">
        <f>H70*('Допущения'!$C$24+'Допущения'!$D$24)</f>
        <v/>
      </c>
      <c r="I75" s="15">
        <f>I70*('Допущения'!$C$24+'Допущения'!$D$24)</f>
        <v/>
      </c>
      <c r="J75" s="15">
        <f>J70*('Допущения'!$C$24+'Допущения'!$D$24)</f>
        <v/>
      </c>
      <c r="K75" s="15">
        <f>K70*('Допущения'!$C$24+'Допущения'!$D$24)</f>
        <v/>
      </c>
      <c r="L75" s="15">
        <f>L70*('Допущения'!$C$24+'Допущения'!$D$24)</f>
        <v/>
      </c>
      <c r="M75" s="15">
        <f>M70*('Допущения'!$C$24+'Допущения'!$D$24)</f>
        <v/>
      </c>
      <c r="N75" s="15">
        <f>N70*('Допущения'!$C$24+'Допущения'!$D$24)</f>
        <v/>
      </c>
      <c r="O75" s="15">
        <f>O70*('Допущения'!$C$24+'Допущения'!$D$24)</f>
        <v/>
      </c>
      <c r="P75" s="15">
        <f>P70*('Допущения'!$C$24+'Допущения'!$D$24)</f>
        <v/>
      </c>
      <c r="Q75" s="15">
        <f>Q70*('Допущения'!$C$24+'Допущения'!$D$24)</f>
        <v/>
      </c>
      <c r="R75" s="15">
        <f>R70*('Допущения'!$C$24+'Допущения'!$D$24)</f>
        <v/>
      </c>
      <c r="S75" s="15">
        <f>S70*('Допущения'!$C$24+'Допущения'!$D$24)</f>
        <v/>
      </c>
      <c r="T75" s="15">
        <f>T70*('Допущения'!$C$24+'Допущения'!$D$24)</f>
        <v/>
      </c>
      <c r="U75" s="15">
        <f>U70*('Допущения'!$C$24+'Допущения'!$D$24)</f>
        <v/>
      </c>
      <c r="V75" s="15">
        <f>V70*('Допущения'!$C$24+'Допущения'!$D$24)</f>
        <v/>
      </c>
      <c r="W75" s="15">
        <f>W70*('Допущения'!$C$24+'Допущения'!$D$24)</f>
        <v/>
      </c>
      <c r="X75" s="15">
        <f>X70*('Допущения'!$C$24+'Допущения'!$D$24)</f>
        <v/>
      </c>
      <c r="Y75" s="15">
        <f>Y70*('Допущения'!$C$24+'Допущения'!$D$24)</f>
        <v/>
      </c>
      <c r="Z75" s="15">
        <f>Z70*('Допущения'!$C$24+'Допущения'!$D$24)</f>
        <v/>
      </c>
      <c r="AA75" s="15">
        <f>AA70*('Допущения'!$C$24+'Допущения'!$D$24)</f>
        <v/>
      </c>
      <c r="AB75" s="15">
        <f>SUM(D75:AA75)</f>
        <v/>
      </c>
    </row>
    <row r="76">
      <c r="A76" t="inlineStr">
        <is>
          <t>C10</t>
        </is>
      </c>
      <c r="B76" t="inlineStr">
        <is>
          <t>Датчики Healthy Room (на номер)</t>
        </is>
      </c>
      <c r="C76" t="inlineStr">
        <is>
          <t>VARC</t>
        </is>
      </c>
      <c r="D76" s="15">
        <f>D71*'Допущения'!$H$24</f>
        <v/>
      </c>
      <c r="E76" s="15">
        <f>E71*'Допущения'!$H$24</f>
        <v/>
      </c>
      <c r="F76" s="15">
        <f>F71*'Допущения'!$H$24</f>
        <v/>
      </c>
      <c r="G76" s="15">
        <f>G71*'Допущения'!$H$24</f>
        <v/>
      </c>
      <c r="H76" s="15">
        <f>H71*'Допущения'!$H$24</f>
        <v/>
      </c>
      <c r="I76" s="15">
        <f>I71*'Допущения'!$H$24</f>
        <v/>
      </c>
      <c r="J76" s="15">
        <f>J71*'Допущения'!$H$24</f>
        <v/>
      </c>
      <c r="K76" s="15">
        <f>K71*'Допущения'!$H$24</f>
        <v/>
      </c>
      <c r="L76" s="15">
        <f>L71*'Допущения'!$H$24</f>
        <v/>
      </c>
      <c r="M76" s="15">
        <f>M71*'Допущения'!$H$24</f>
        <v/>
      </c>
      <c r="N76" s="15">
        <f>N71*'Допущения'!$H$24</f>
        <v/>
      </c>
      <c r="O76" s="15">
        <f>O71*'Допущения'!$H$24</f>
        <v/>
      </c>
      <c r="P76" s="15">
        <f>P71*'Допущения'!$H$24</f>
        <v/>
      </c>
      <c r="Q76" s="15">
        <f>Q71*'Допущения'!$H$24</f>
        <v/>
      </c>
      <c r="R76" s="15">
        <f>R71*'Допущения'!$H$24</f>
        <v/>
      </c>
      <c r="S76" s="15">
        <f>S71*'Допущения'!$H$24</f>
        <v/>
      </c>
      <c r="T76" s="15">
        <f>T71*'Допущения'!$H$24</f>
        <v/>
      </c>
      <c r="U76" s="15">
        <f>U71*'Допущения'!$H$24</f>
        <v/>
      </c>
      <c r="V76" s="15">
        <f>V71*'Допущения'!$H$24</f>
        <v/>
      </c>
      <c r="W76" s="15">
        <f>W71*'Допущения'!$H$24</f>
        <v/>
      </c>
      <c r="X76" s="15">
        <f>X71*'Допущения'!$H$24</f>
        <v/>
      </c>
      <c r="Y76" s="15">
        <f>Y71*'Допущения'!$H$24</f>
        <v/>
      </c>
      <c r="Z76" s="15">
        <f>Z71*'Допущения'!$H$24</f>
        <v/>
      </c>
      <c r="AA76" s="15">
        <f>AA71*'Допущения'!$H$24</f>
        <v/>
      </c>
      <c r="AB76" s="15">
        <f>SUM(D76:AA76)</f>
        <v/>
      </c>
    </row>
    <row r="77">
      <c r="A77" t="inlineStr">
        <is>
          <t>C11</t>
        </is>
      </c>
      <c r="B77" t="inlineStr">
        <is>
          <t>Киоск check-in / ID</t>
        </is>
      </c>
      <c r="C77" t="inlineStr">
        <is>
          <t>NEWU</t>
        </is>
      </c>
      <c r="D77" s="15">
        <f>IF(D$3&gt;='Допущения'!$K$25,D$4*'Допущения'!$J$25*'Допущения'!$I$25,0)</f>
        <v/>
      </c>
      <c r="E77" s="15">
        <f>IF(E$3&gt;='Допущения'!$K$25,E$4*'Допущения'!$J$25*'Допущения'!$I$25,0)</f>
        <v/>
      </c>
      <c r="F77" s="15">
        <f>IF(F$3&gt;='Допущения'!$K$25,F$4*'Допущения'!$J$25*'Допущения'!$I$25,0)</f>
        <v/>
      </c>
      <c r="G77" s="15">
        <f>IF(G$3&gt;='Допущения'!$K$25,G$4*'Допущения'!$J$25*'Допущения'!$I$25,0)</f>
        <v/>
      </c>
      <c r="H77" s="15">
        <f>IF(H$3&gt;='Допущения'!$K$25,H$4*'Допущения'!$J$25*'Допущения'!$I$25,0)</f>
        <v/>
      </c>
      <c r="I77" s="15">
        <f>IF(I$3&gt;='Допущения'!$K$25,I$4*'Допущения'!$J$25*'Допущения'!$I$25,0)</f>
        <v/>
      </c>
      <c r="J77" s="15">
        <f>IF(J$3&gt;='Допущения'!$K$25,J$4*'Допущения'!$J$25*'Допущения'!$I$25,0)</f>
        <v/>
      </c>
      <c r="K77" s="15">
        <f>IF(K$3&gt;='Допущения'!$K$25,K$4*'Допущения'!$J$25*'Допущения'!$I$25,0)</f>
        <v/>
      </c>
      <c r="L77" s="15">
        <f>IF(L$3&gt;='Допущения'!$K$25,L$4*'Допущения'!$J$25*'Допущения'!$I$25,0)</f>
        <v/>
      </c>
      <c r="M77" s="15">
        <f>IF(M$3&gt;='Допущения'!$K$25,M$4*'Допущения'!$J$25*'Допущения'!$I$25,0)</f>
        <v/>
      </c>
      <c r="N77" s="15">
        <f>IF(N$3&gt;='Допущения'!$K$25,N$4*'Допущения'!$J$25*'Допущения'!$I$25,0)</f>
        <v/>
      </c>
      <c r="O77" s="15">
        <f>IF(O$3&gt;='Допущения'!$K$25,O$4*'Допущения'!$J$25*'Допущения'!$I$25,0)</f>
        <v/>
      </c>
      <c r="P77" s="15">
        <f>IF(P$3&gt;='Допущения'!$K$25,P$4*'Допущения'!$J$25*'Допущения'!$I$25,0)</f>
        <v/>
      </c>
      <c r="Q77" s="15">
        <f>IF(Q$3&gt;='Допущения'!$K$25,Q$4*'Допущения'!$J$25*'Допущения'!$I$25,0)</f>
        <v/>
      </c>
      <c r="R77" s="15">
        <f>IF(R$3&gt;='Допущения'!$K$25,R$4*'Допущения'!$J$25*'Допущения'!$I$25,0)</f>
        <v/>
      </c>
      <c r="S77" s="15">
        <f>IF(S$3&gt;='Допущения'!$K$25,S$4*'Допущения'!$J$25*'Допущения'!$I$25,0)</f>
        <v/>
      </c>
      <c r="T77" s="15">
        <f>IF(T$3&gt;='Допущения'!$K$25,T$4*'Допущения'!$J$25*'Допущения'!$I$25,0)</f>
        <v/>
      </c>
      <c r="U77" s="15">
        <f>IF(U$3&gt;='Допущения'!$K$25,U$4*'Допущения'!$J$25*'Допущения'!$I$25,0)</f>
        <v/>
      </c>
      <c r="V77" s="15">
        <f>IF(V$3&gt;='Допущения'!$K$25,V$4*'Допущения'!$J$25*'Допущения'!$I$25,0)</f>
        <v/>
      </c>
      <c r="W77" s="15">
        <f>IF(W$3&gt;='Допущения'!$K$25,W$4*'Допущения'!$J$25*'Допущения'!$I$25,0)</f>
        <v/>
      </c>
      <c r="X77" s="15">
        <f>IF(X$3&gt;='Допущения'!$K$25,X$4*'Допущения'!$J$25*'Допущения'!$I$25,0)</f>
        <v/>
      </c>
      <c r="Y77" s="15">
        <f>IF(Y$3&gt;='Допущения'!$K$25,Y$4*'Допущения'!$J$25*'Допущения'!$I$25,0)</f>
        <v/>
      </c>
      <c r="Z77" s="15">
        <f>IF(Z$3&gt;='Допущения'!$K$25,Z$4*'Допущения'!$J$25*'Допущения'!$I$25,0)</f>
        <v/>
      </c>
      <c r="AA77" s="15">
        <f>IF(AA$3&gt;='Допущения'!$K$25,AA$4*'Допущения'!$J$25*'Допущения'!$I$25,0)</f>
        <v/>
      </c>
      <c r="AB77" s="15">
        <f>SUM(D77:AA77)</f>
        <v/>
      </c>
    </row>
    <row r="78">
      <c r="A78" t="inlineStr">
        <is>
          <t>C11</t>
        </is>
      </c>
      <c r="B78" t="inlineStr">
        <is>
          <t>Киоск check-in / ID</t>
        </is>
      </c>
      <c r="C78" t="inlineStr">
        <is>
          <t>ACTU</t>
        </is>
      </c>
      <c r="D78" s="15">
        <f>D77</f>
        <v/>
      </c>
      <c r="E78" s="15">
        <f>D78*(1-'Допущения'!$C$6)+E77</f>
        <v/>
      </c>
      <c r="F78" s="15">
        <f>E78*(1-'Допущения'!$C$6)+F77</f>
        <v/>
      </c>
      <c r="G78" s="15">
        <f>F78*(1-'Допущения'!$C$6)+G77</f>
        <v/>
      </c>
      <c r="H78" s="15">
        <f>G78*(1-'Допущения'!$C$6)+H77</f>
        <v/>
      </c>
      <c r="I78" s="15">
        <f>H78*(1-'Допущения'!$C$6)+I77</f>
        <v/>
      </c>
      <c r="J78" s="15">
        <f>I78*(1-'Допущения'!$C$6)+J77</f>
        <v/>
      </c>
      <c r="K78" s="15">
        <f>J78*(1-'Допущения'!$C$6)+K77</f>
        <v/>
      </c>
      <c r="L78" s="15">
        <f>K78*(1-'Допущения'!$C$6)+L77</f>
        <v/>
      </c>
      <c r="M78" s="15">
        <f>L78*(1-'Допущения'!$C$6)+M77</f>
        <v/>
      </c>
      <c r="N78" s="15">
        <f>M78*(1-'Допущения'!$C$6)+N77</f>
        <v/>
      </c>
      <c r="O78" s="15">
        <f>N78*(1-'Допущения'!$C$6)+O77</f>
        <v/>
      </c>
      <c r="P78" s="15">
        <f>O78*(1-'Допущения'!$C$6)+P77</f>
        <v/>
      </c>
      <c r="Q78" s="15">
        <f>P78*(1-'Допущения'!$C$6)+Q77</f>
        <v/>
      </c>
      <c r="R78" s="15">
        <f>Q78*(1-'Допущения'!$C$6)+R77</f>
        <v/>
      </c>
      <c r="S78" s="15">
        <f>R78*(1-'Допущения'!$C$6)+S77</f>
        <v/>
      </c>
      <c r="T78" s="15">
        <f>S78*(1-'Допущения'!$C$6)+T77</f>
        <v/>
      </c>
      <c r="U78" s="15">
        <f>T78*(1-'Допущения'!$C$6)+U77</f>
        <v/>
      </c>
      <c r="V78" s="15">
        <f>U78*(1-'Допущения'!$C$6)+V77</f>
        <v/>
      </c>
      <c r="W78" s="15">
        <f>V78*(1-'Допущения'!$C$6)+W77</f>
        <v/>
      </c>
      <c r="X78" s="15">
        <f>W78*(1-'Допущения'!$C$6)+X77</f>
        <v/>
      </c>
      <c r="Y78" s="15">
        <f>X78*(1-'Допущения'!$C$6)+Y77</f>
        <v/>
      </c>
      <c r="Z78" s="15">
        <f>Y78*(1-'Допущения'!$C$6)+Z77</f>
        <v/>
      </c>
      <c r="AA78" s="15">
        <f>Z78*(1-'Допущения'!$C$6)+AA77</f>
        <v/>
      </c>
      <c r="AB78" s="15">
        <f>SUM(D78:AA78)</f>
        <v/>
      </c>
    </row>
    <row r="79">
      <c r="A79" t="inlineStr">
        <is>
          <t>C11</t>
        </is>
      </c>
      <c r="B79" t="inlineStr">
        <is>
          <t>Киоск check-in / ID</t>
        </is>
      </c>
      <c r="C79" t="inlineStr">
        <is>
          <t>HWREV</t>
        </is>
      </c>
      <c r="D79" s="15">
        <f>D77*'Допущения'!$E$25</f>
        <v/>
      </c>
      <c r="E79" s="15">
        <f>E77*'Допущения'!$E$25</f>
        <v/>
      </c>
      <c r="F79" s="15">
        <f>F77*'Допущения'!$E$25</f>
        <v/>
      </c>
      <c r="G79" s="15">
        <f>G77*'Допущения'!$E$25</f>
        <v/>
      </c>
      <c r="H79" s="15">
        <f>H77*'Допущения'!$E$25</f>
        <v/>
      </c>
      <c r="I79" s="15">
        <f>I77*'Допущения'!$E$25</f>
        <v/>
      </c>
      <c r="J79" s="15">
        <f>J77*'Допущения'!$E$25</f>
        <v/>
      </c>
      <c r="K79" s="15">
        <f>K77*'Допущения'!$E$25</f>
        <v/>
      </c>
      <c r="L79" s="15">
        <f>L77*'Допущения'!$E$25</f>
        <v/>
      </c>
      <c r="M79" s="15">
        <f>M77*'Допущения'!$E$25</f>
        <v/>
      </c>
      <c r="N79" s="15">
        <f>N77*'Допущения'!$E$25</f>
        <v/>
      </c>
      <c r="O79" s="15">
        <f>O77*'Допущения'!$E$25</f>
        <v/>
      </c>
      <c r="P79" s="15">
        <f>P77*'Допущения'!$E$25</f>
        <v/>
      </c>
      <c r="Q79" s="15">
        <f>Q77*'Допущения'!$E$25</f>
        <v/>
      </c>
      <c r="R79" s="15">
        <f>R77*'Допущения'!$E$25</f>
        <v/>
      </c>
      <c r="S79" s="15">
        <f>S77*'Допущения'!$E$25</f>
        <v/>
      </c>
      <c r="T79" s="15">
        <f>T77*'Допущения'!$E$25</f>
        <v/>
      </c>
      <c r="U79" s="15">
        <f>U77*'Допущения'!$E$25</f>
        <v/>
      </c>
      <c r="V79" s="15">
        <f>V77*'Допущения'!$E$25</f>
        <v/>
      </c>
      <c r="W79" s="15">
        <f>W77*'Допущения'!$E$25</f>
        <v/>
      </c>
      <c r="X79" s="15">
        <f>X77*'Допущения'!$E$25</f>
        <v/>
      </c>
      <c r="Y79" s="15">
        <f>Y77*'Допущения'!$E$25</f>
        <v/>
      </c>
      <c r="Z79" s="15">
        <f>Z77*'Допущения'!$E$25</f>
        <v/>
      </c>
      <c r="AA79" s="15">
        <f>AA77*'Допущения'!$E$25</f>
        <v/>
      </c>
      <c r="AB79" s="15">
        <f>SUM(D79:AA79)</f>
        <v/>
      </c>
    </row>
    <row r="80">
      <c r="A80" t="inlineStr">
        <is>
          <t>C11</t>
        </is>
      </c>
      <c r="B80" t="inlineStr">
        <is>
          <t>Киоск check-in / ID</t>
        </is>
      </c>
      <c r="C80" t="inlineStr">
        <is>
          <t>RECREV</t>
        </is>
      </c>
      <c r="D80" s="15">
        <f>D78*'Допущения'!$F$25</f>
        <v/>
      </c>
      <c r="E80" s="15">
        <f>E78*'Допущения'!$F$25</f>
        <v/>
      </c>
      <c r="F80" s="15">
        <f>F78*'Допущения'!$F$25</f>
        <v/>
      </c>
      <c r="G80" s="15">
        <f>G78*'Допущения'!$F$25</f>
        <v/>
      </c>
      <c r="H80" s="15">
        <f>H78*'Допущения'!$F$25</f>
        <v/>
      </c>
      <c r="I80" s="15">
        <f>I78*'Допущения'!$F$25</f>
        <v/>
      </c>
      <c r="J80" s="15">
        <f>J78*'Допущения'!$F$25</f>
        <v/>
      </c>
      <c r="K80" s="15">
        <f>K78*'Допущения'!$F$25</f>
        <v/>
      </c>
      <c r="L80" s="15">
        <f>L78*'Допущения'!$F$25</f>
        <v/>
      </c>
      <c r="M80" s="15">
        <f>M78*'Допущения'!$F$25</f>
        <v/>
      </c>
      <c r="N80" s="15">
        <f>N78*'Допущения'!$F$25</f>
        <v/>
      </c>
      <c r="O80" s="15">
        <f>O78*'Допущения'!$F$25</f>
        <v/>
      </c>
      <c r="P80" s="15">
        <f>P78*'Допущения'!$F$25</f>
        <v/>
      </c>
      <c r="Q80" s="15">
        <f>Q78*'Допущения'!$F$25</f>
        <v/>
      </c>
      <c r="R80" s="15">
        <f>R78*'Допущения'!$F$25</f>
        <v/>
      </c>
      <c r="S80" s="15">
        <f>S78*'Допущения'!$F$25</f>
        <v/>
      </c>
      <c r="T80" s="15">
        <f>T78*'Допущения'!$F$25</f>
        <v/>
      </c>
      <c r="U80" s="15">
        <f>U78*'Допущения'!$F$25</f>
        <v/>
      </c>
      <c r="V80" s="15">
        <f>V78*'Допущения'!$F$25</f>
        <v/>
      </c>
      <c r="W80" s="15">
        <f>W78*'Допущения'!$F$25</f>
        <v/>
      </c>
      <c r="X80" s="15">
        <f>X78*'Допущения'!$F$25</f>
        <v/>
      </c>
      <c r="Y80" s="15">
        <f>Y78*'Допущения'!$F$25</f>
        <v/>
      </c>
      <c r="Z80" s="15">
        <f>Z78*'Допущения'!$F$25</f>
        <v/>
      </c>
      <c r="AA80" s="15">
        <f>AA78*'Допущения'!$F$25</f>
        <v/>
      </c>
      <c r="AB80" s="15">
        <f>SUM(D80:AA80)</f>
        <v/>
      </c>
    </row>
    <row r="81">
      <c r="A81" t="inlineStr">
        <is>
          <t>C11</t>
        </is>
      </c>
      <c r="B81" t="inlineStr">
        <is>
          <t>Киоск check-in / ID</t>
        </is>
      </c>
      <c r="C81" t="inlineStr">
        <is>
          <t>TXNREV</t>
        </is>
      </c>
      <c r="D81" s="15">
        <f>D78*'Допущения'!$G$25</f>
        <v/>
      </c>
      <c r="E81" s="15">
        <f>E78*'Допущения'!$G$25</f>
        <v/>
      </c>
      <c r="F81" s="15">
        <f>F78*'Допущения'!$G$25</f>
        <v/>
      </c>
      <c r="G81" s="15">
        <f>G78*'Допущения'!$G$25</f>
        <v/>
      </c>
      <c r="H81" s="15">
        <f>H78*'Допущения'!$G$25</f>
        <v/>
      </c>
      <c r="I81" s="15">
        <f>I78*'Допущения'!$G$25</f>
        <v/>
      </c>
      <c r="J81" s="15">
        <f>J78*'Допущения'!$G$25</f>
        <v/>
      </c>
      <c r="K81" s="15">
        <f>K78*'Допущения'!$G$25</f>
        <v/>
      </c>
      <c r="L81" s="15">
        <f>L78*'Допущения'!$G$25</f>
        <v/>
      </c>
      <c r="M81" s="15">
        <f>M78*'Допущения'!$G$25</f>
        <v/>
      </c>
      <c r="N81" s="15">
        <f>N78*'Допущения'!$G$25</f>
        <v/>
      </c>
      <c r="O81" s="15">
        <f>O78*'Допущения'!$G$25</f>
        <v/>
      </c>
      <c r="P81" s="15">
        <f>P78*'Допущения'!$G$25</f>
        <v/>
      </c>
      <c r="Q81" s="15">
        <f>Q78*'Допущения'!$G$25</f>
        <v/>
      </c>
      <c r="R81" s="15">
        <f>R78*'Допущения'!$G$25</f>
        <v/>
      </c>
      <c r="S81" s="15">
        <f>S78*'Допущения'!$G$25</f>
        <v/>
      </c>
      <c r="T81" s="15">
        <f>T78*'Допущения'!$G$25</f>
        <v/>
      </c>
      <c r="U81" s="15">
        <f>U78*'Допущения'!$G$25</f>
        <v/>
      </c>
      <c r="V81" s="15">
        <f>V78*'Допущения'!$G$25</f>
        <v/>
      </c>
      <c r="W81" s="15">
        <f>W78*'Допущения'!$G$25</f>
        <v/>
      </c>
      <c r="X81" s="15">
        <f>X78*'Допущения'!$G$25</f>
        <v/>
      </c>
      <c r="Y81" s="15">
        <f>Y78*'Допущения'!$G$25</f>
        <v/>
      </c>
      <c r="Z81" s="15">
        <f>Z78*'Допущения'!$G$25</f>
        <v/>
      </c>
      <c r="AA81" s="15">
        <f>AA78*'Допущения'!$G$25</f>
        <v/>
      </c>
      <c r="AB81" s="15">
        <f>SUM(D81:AA81)</f>
        <v/>
      </c>
    </row>
    <row r="82">
      <c r="A82" t="inlineStr">
        <is>
          <t>C11</t>
        </is>
      </c>
      <c r="B82" t="inlineStr">
        <is>
          <t>Киоск check-in / ID</t>
        </is>
      </c>
      <c r="C82" t="inlineStr">
        <is>
          <t>COGS</t>
        </is>
      </c>
      <c r="D82" s="15">
        <f>D77*('Допущения'!$C$25+'Допущения'!$D$25)</f>
        <v/>
      </c>
      <c r="E82" s="15">
        <f>E77*('Допущения'!$C$25+'Допущения'!$D$25)</f>
        <v/>
      </c>
      <c r="F82" s="15">
        <f>F77*('Допущения'!$C$25+'Допущения'!$D$25)</f>
        <v/>
      </c>
      <c r="G82" s="15">
        <f>G77*('Допущения'!$C$25+'Допущения'!$D$25)</f>
        <v/>
      </c>
      <c r="H82" s="15">
        <f>H77*('Допущения'!$C$25+'Допущения'!$D$25)</f>
        <v/>
      </c>
      <c r="I82" s="15">
        <f>I77*('Допущения'!$C$25+'Допущения'!$D$25)</f>
        <v/>
      </c>
      <c r="J82" s="15">
        <f>J77*('Допущения'!$C$25+'Допущения'!$D$25)</f>
        <v/>
      </c>
      <c r="K82" s="15">
        <f>K77*('Допущения'!$C$25+'Допущения'!$D$25)</f>
        <v/>
      </c>
      <c r="L82" s="15">
        <f>L77*('Допущения'!$C$25+'Допущения'!$D$25)</f>
        <v/>
      </c>
      <c r="M82" s="15">
        <f>M77*('Допущения'!$C$25+'Допущения'!$D$25)</f>
        <v/>
      </c>
      <c r="N82" s="15">
        <f>N77*('Допущения'!$C$25+'Допущения'!$D$25)</f>
        <v/>
      </c>
      <c r="O82" s="15">
        <f>O77*('Допущения'!$C$25+'Допущения'!$D$25)</f>
        <v/>
      </c>
      <c r="P82" s="15">
        <f>P77*('Допущения'!$C$25+'Допущения'!$D$25)</f>
        <v/>
      </c>
      <c r="Q82" s="15">
        <f>Q77*('Допущения'!$C$25+'Допущения'!$D$25)</f>
        <v/>
      </c>
      <c r="R82" s="15">
        <f>R77*('Допущения'!$C$25+'Допущения'!$D$25)</f>
        <v/>
      </c>
      <c r="S82" s="15">
        <f>S77*('Допущения'!$C$25+'Допущения'!$D$25)</f>
        <v/>
      </c>
      <c r="T82" s="15">
        <f>T77*('Допущения'!$C$25+'Допущения'!$D$25)</f>
        <v/>
      </c>
      <c r="U82" s="15">
        <f>U77*('Допущения'!$C$25+'Допущения'!$D$25)</f>
        <v/>
      </c>
      <c r="V82" s="15">
        <f>V77*('Допущения'!$C$25+'Допущения'!$D$25)</f>
        <v/>
      </c>
      <c r="W82" s="15">
        <f>W77*('Допущения'!$C$25+'Допущения'!$D$25)</f>
        <v/>
      </c>
      <c r="X82" s="15">
        <f>X77*('Допущения'!$C$25+'Допущения'!$D$25)</f>
        <v/>
      </c>
      <c r="Y82" s="15">
        <f>Y77*('Допущения'!$C$25+'Допущения'!$D$25)</f>
        <v/>
      </c>
      <c r="Z82" s="15">
        <f>Z77*('Допущения'!$C$25+'Допущения'!$D$25)</f>
        <v/>
      </c>
      <c r="AA82" s="15">
        <f>AA77*('Допущения'!$C$25+'Допущения'!$D$25)</f>
        <v/>
      </c>
      <c r="AB82" s="15">
        <f>SUM(D82:AA82)</f>
        <v/>
      </c>
    </row>
    <row r="83">
      <c r="A83" t="inlineStr">
        <is>
          <t>C11</t>
        </is>
      </c>
      <c r="B83" t="inlineStr">
        <is>
          <t>Киоск check-in / ID</t>
        </is>
      </c>
      <c r="C83" t="inlineStr">
        <is>
          <t>VARC</t>
        </is>
      </c>
      <c r="D83" s="15">
        <f>D78*'Допущения'!$H$25</f>
        <v/>
      </c>
      <c r="E83" s="15">
        <f>E78*'Допущения'!$H$25</f>
        <v/>
      </c>
      <c r="F83" s="15">
        <f>F78*'Допущения'!$H$25</f>
        <v/>
      </c>
      <c r="G83" s="15">
        <f>G78*'Допущения'!$H$25</f>
        <v/>
      </c>
      <c r="H83" s="15">
        <f>H78*'Допущения'!$H$25</f>
        <v/>
      </c>
      <c r="I83" s="15">
        <f>I78*'Допущения'!$H$25</f>
        <v/>
      </c>
      <c r="J83" s="15">
        <f>J78*'Допущения'!$H$25</f>
        <v/>
      </c>
      <c r="K83" s="15">
        <f>K78*'Допущения'!$H$25</f>
        <v/>
      </c>
      <c r="L83" s="15">
        <f>L78*'Допущения'!$H$25</f>
        <v/>
      </c>
      <c r="M83" s="15">
        <f>M78*'Допущения'!$H$25</f>
        <v/>
      </c>
      <c r="N83" s="15">
        <f>N78*'Допущения'!$H$25</f>
        <v/>
      </c>
      <c r="O83" s="15">
        <f>O78*'Допущения'!$H$25</f>
        <v/>
      </c>
      <c r="P83" s="15">
        <f>P78*'Допущения'!$H$25</f>
        <v/>
      </c>
      <c r="Q83" s="15">
        <f>Q78*'Допущения'!$H$25</f>
        <v/>
      </c>
      <c r="R83" s="15">
        <f>R78*'Допущения'!$H$25</f>
        <v/>
      </c>
      <c r="S83" s="15">
        <f>S78*'Допущения'!$H$25</f>
        <v/>
      </c>
      <c r="T83" s="15">
        <f>T78*'Допущения'!$H$25</f>
        <v/>
      </c>
      <c r="U83" s="15">
        <f>U78*'Допущения'!$H$25</f>
        <v/>
      </c>
      <c r="V83" s="15">
        <f>V78*'Допущения'!$H$25</f>
        <v/>
      </c>
      <c r="W83" s="15">
        <f>W78*'Допущения'!$H$25</f>
        <v/>
      </c>
      <c r="X83" s="15">
        <f>X78*'Допущения'!$H$25</f>
        <v/>
      </c>
      <c r="Y83" s="15">
        <f>Y78*'Допущения'!$H$25</f>
        <v/>
      </c>
      <c r="Z83" s="15">
        <f>Z78*'Допущения'!$H$25</f>
        <v/>
      </c>
      <c r="AA83" s="15">
        <f>AA78*'Допущения'!$H$25</f>
        <v/>
      </c>
      <c r="AB83" s="15">
        <f>SUM(D83:AA83)</f>
        <v/>
      </c>
    </row>
    <row r="84">
      <c r="A84" t="inlineStr">
        <is>
          <t>C12</t>
        </is>
      </c>
      <c r="B84" t="inlineStr">
        <is>
          <t>Локальный marketplace</t>
        </is>
      </c>
      <c r="C84" t="inlineStr">
        <is>
          <t>NEWU</t>
        </is>
      </c>
      <c r="D84" s="15">
        <f>IF(D$3&gt;='Допущения'!$K$26,D$4*'Допущения'!$J$26*'Допущения'!$I$26,0)</f>
        <v/>
      </c>
      <c r="E84" s="15">
        <f>IF(E$3&gt;='Допущения'!$K$26,E$4*'Допущения'!$J$26*'Допущения'!$I$26,0)</f>
        <v/>
      </c>
      <c r="F84" s="15">
        <f>IF(F$3&gt;='Допущения'!$K$26,F$4*'Допущения'!$J$26*'Допущения'!$I$26,0)</f>
        <v/>
      </c>
      <c r="G84" s="15">
        <f>IF(G$3&gt;='Допущения'!$K$26,G$4*'Допущения'!$J$26*'Допущения'!$I$26,0)</f>
        <v/>
      </c>
      <c r="H84" s="15">
        <f>IF(H$3&gt;='Допущения'!$K$26,H$4*'Допущения'!$J$26*'Допущения'!$I$26,0)</f>
        <v/>
      </c>
      <c r="I84" s="15">
        <f>IF(I$3&gt;='Допущения'!$K$26,I$4*'Допущения'!$J$26*'Допущения'!$I$26,0)</f>
        <v/>
      </c>
      <c r="J84" s="15">
        <f>IF(J$3&gt;='Допущения'!$K$26,J$4*'Допущения'!$J$26*'Допущения'!$I$26,0)</f>
        <v/>
      </c>
      <c r="K84" s="15">
        <f>IF(K$3&gt;='Допущения'!$K$26,K$4*'Допущения'!$J$26*'Допущения'!$I$26,0)</f>
        <v/>
      </c>
      <c r="L84" s="15">
        <f>IF(L$3&gt;='Допущения'!$K$26,L$4*'Допущения'!$J$26*'Допущения'!$I$26,0)</f>
        <v/>
      </c>
      <c r="M84" s="15">
        <f>IF(M$3&gt;='Допущения'!$K$26,M$4*'Допущения'!$J$26*'Допущения'!$I$26,0)</f>
        <v/>
      </c>
      <c r="N84" s="15">
        <f>IF(N$3&gt;='Допущения'!$K$26,N$4*'Допущения'!$J$26*'Допущения'!$I$26,0)</f>
        <v/>
      </c>
      <c r="O84" s="15">
        <f>IF(O$3&gt;='Допущения'!$K$26,O$4*'Допущения'!$J$26*'Допущения'!$I$26,0)</f>
        <v/>
      </c>
      <c r="P84" s="15">
        <f>IF(P$3&gt;='Допущения'!$K$26,P$4*'Допущения'!$J$26*'Допущения'!$I$26,0)</f>
        <v/>
      </c>
      <c r="Q84" s="15">
        <f>IF(Q$3&gt;='Допущения'!$K$26,Q$4*'Допущения'!$J$26*'Допущения'!$I$26,0)</f>
        <v/>
      </c>
      <c r="R84" s="15">
        <f>IF(R$3&gt;='Допущения'!$K$26,R$4*'Допущения'!$J$26*'Допущения'!$I$26,0)</f>
        <v/>
      </c>
      <c r="S84" s="15">
        <f>IF(S$3&gt;='Допущения'!$K$26,S$4*'Допущения'!$J$26*'Допущения'!$I$26,0)</f>
        <v/>
      </c>
      <c r="T84" s="15">
        <f>IF(T$3&gt;='Допущения'!$K$26,T$4*'Допущения'!$J$26*'Допущения'!$I$26,0)</f>
        <v/>
      </c>
      <c r="U84" s="15">
        <f>IF(U$3&gt;='Допущения'!$K$26,U$4*'Допущения'!$J$26*'Допущения'!$I$26,0)</f>
        <v/>
      </c>
      <c r="V84" s="15">
        <f>IF(V$3&gt;='Допущения'!$K$26,V$4*'Допущения'!$J$26*'Допущения'!$I$26,0)</f>
        <v/>
      </c>
      <c r="W84" s="15">
        <f>IF(W$3&gt;='Допущения'!$K$26,W$4*'Допущения'!$J$26*'Допущения'!$I$26,0)</f>
        <v/>
      </c>
      <c r="X84" s="15">
        <f>IF(X$3&gt;='Допущения'!$K$26,X$4*'Допущения'!$J$26*'Допущения'!$I$26,0)</f>
        <v/>
      </c>
      <c r="Y84" s="15">
        <f>IF(Y$3&gt;='Допущения'!$K$26,Y$4*'Допущения'!$J$26*'Допущения'!$I$26,0)</f>
        <v/>
      </c>
      <c r="Z84" s="15">
        <f>IF(Z$3&gt;='Допущения'!$K$26,Z$4*'Допущения'!$J$26*'Допущения'!$I$26,0)</f>
        <v/>
      </c>
      <c r="AA84" s="15">
        <f>IF(AA$3&gt;='Допущения'!$K$26,AA$4*'Допущения'!$J$26*'Допущения'!$I$26,0)</f>
        <v/>
      </c>
      <c r="AB84" s="15">
        <f>SUM(D84:AA84)</f>
        <v/>
      </c>
    </row>
    <row r="85">
      <c r="A85" t="inlineStr">
        <is>
          <t>C12</t>
        </is>
      </c>
      <c r="B85" t="inlineStr">
        <is>
          <t>Локальный marketplace</t>
        </is>
      </c>
      <c r="C85" t="inlineStr">
        <is>
          <t>ACTU</t>
        </is>
      </c>
      <c r="D85" s="15">
        <f>D84</f>
        <v/>
      </c>
      <c r="E85" s="15">
        <f>D85*(1-'Допущения'!$C$6)+E84</f>
        <v/>
      </c>
      <c r="F85" s="15">
        <f>E85*(1-'Допущения'!$C$6)+F84</f>
        <v/>
      </c>
      <c r="G85" s="15">
        <f>F85*(1-'Допущения'!$C$6)+G84</f>
        <v/>
      </c>
      <c r="H85" s="15">
        <f>G85*(1-'Допущения'!$C$6)+H84</f>
        <v/>
      </c>
      <c r="I85" s="15">
        <f>H85*(1-'Допущения'!$C$6)+I84</f>
        <v/>
      </c>
      <c r="J85" s="15">
        <f>I85*(1-'Допущения'!$C$6)+J84</f>
        <v/>
      </c>
      <c r="K85" s="15">
        <f>J85*(1-'Допущения'!$C$6)+K84</f>
        <v/>
      </c>
      <c r="L85" s="15">
        <f>K85*(1-'Допущения'!$C$6)+L84</f>
        <v/>
      </c>
      <c r="M85" s="15">
        <f>L85*(1-'Допущения'!$C$6)+M84</f>
        <v/>
      </c>
      <c r="N85" s="15">
        <f>M85*(1-'Допущения'!$C$6)+N84</f>
        <v/>
      </c>
      <c r="O85" s="15">
        <f>N85*(1-'Допущения'!$C$6)+O84</f>
        <v/>
      </c>
      <c r="P85" s="15">
        <f>O85*(1-'Допущения'!$C$6)+P84</f>
        <v/>
      </c>
      <c r="Q85" s="15">
        <f>P85*(1-'Допущения'!$C$6)+Q84</f>
        <v/>
      </c>
      <c r="R85" s="15">
        <f>Q85*(1-'Допущения'!$C$6)+R84</f>
        <v/>
      </c>
      <c r="S85" s="15">
        <f>R85*(1-'Допущения'!$C$6)+S84</f>
        <v/>
      </c>
      <c r="T85" s="15">
        <f>S85*(1-'Допущения'!$C$6)+T84</f>
        <v/>
      </c>
      <c r="U85" s="15">
        <f>T85*(1-'Допущения'!$C$6)+U84</f>
        <v/>
      </c>
      <c r="V85" s="15">
        <f>U85*(1-'Допущения'!$C$6)+V84</f>
        <v/>
      </c>
      <c r="W85" s="15">
        <f>V85*(1-'Допущения'!$C$6)+W84</f>
        <v/>
      </c>
      <c r="X85" s="15">
        <f>W85*(1-'Допущения'!$C$6)+X84</f>
        <v/>
      </c>
      <c r="Y85" s="15">
        <f>X85*(1-'Допущения'!$C$6)+Y84</f>
        <v/>
      </c>
      <c r="Z85" s="15">
        <f>Y85*(1-'Допущения'!$C$6)+Z84</f>
        <v/>
      </c>
      <c r="AA85" s="15">
        <f>Z85*(1-'Допущения'!$C$6)+AA84</f>
        <v/>
      </c>
      <c r="AB85" s="15">
        <f>SUM(D85:AA85)</f>
        <v/>
      </c>
    </row>
    <row r="86">
      <c r="A86" t="inlineStr">
        <is>
          <t>C12</t>
        </is>
      </c>
      <c r="B86" t="inlineStr">
        <is>
          <t>Локальный marketplace</t>
        </is>
      </c>
      <c r="C86" t="inlineStr">
        <is>
          <t>HWREV</t>
        </is>
      </c>
      <c r="D86" s="15">
        <f>D84*'Допущения'!$E$26</f>
        <v/>
      </c>
      <c r="E86" s="15">
        <f>E84*'Допущения'!$E$26</f>
        <v/>
      </c>
      <c r="F86" s="15">
        <f>F84*'Допущения'!$E$26</f>
        <v/>
      </c>
      <c r="G86" s="15">
        <f>G84*'Допущения'!$E$26</f>
        <v/>
      </c>
      <c r="H86" s="15">
        <f>H84*'Допущения'!$E$26</f>
        <v/>
      </c>
      <c r="I86" s="15">
        <f>I84*'Допущения'!$E$26</f>
        <v/>
      </c>
      <c r="J86" s="15">
        <f>J84*'Допущения'!$E$26</f>
        <v/>
      </c>
      <c r="K86" s="15">
        <f>K84*'Допущения'!$E$26</f>
        <v/>
      </c>
      <c r="L86" s="15">
        <f>L84*'Допущения'!$E$26</f>
        <v/>
      </c>
      <c r="M86" s="15">
        <f>M84*'Допущения'!$E$26</f>
        <v/>
      </c>
      <c r="N86" s="15">
        <f>N84*'Допущения'!$E$26</f>
        <v/>
      </c>
      <c r="O86" s="15">
        <f>O84*'Допущения'!$E$26</f>
        <v/>
      </c>
      <c r="P86" s="15">
        <f>P84*'Допущения'!$E$26</f>
        <v/>
      </c>
      <c r="Q86" s="15">
        <f>Q84*'Допущения'!$E$26</f>
        <v/>
      </c>
      <c r="R86" s="15">
        <f>R84*'Допущения'!$E$26</f>
        <v/>
      </c>
      <c r="S86" s="15">
        <f>S84*'Допущения'!$E$26</f>
        <v/>
      </c>
      <c r="T86" s="15">
        <f>T84*'Допущения'!$E$26</f>
        <v/>
      </c>
      <c r="U86" s="15">
        <f>U84*'Допущения'!$E$26</f>
        <v/>
      </c>
      <c r="V86" s="15">
        <f>V84*'Допущения'!$E$26</f>
        <v/>
      </c>
      <c r="W86" s="15">
        <f>W84*'Допущения'!$E$26</f>
        <v/>
      </c>
      <c r="X86" s="15">
        <f>X84*'Допущения'!$E$26</f>
        <v/>
      </c>
      <c r="Y86" s="15">
        <f>Y84*'Допущения'!$E$26</f>
        <v/>
      </c>
      <c r="Z86" s="15">
        <f>Z84*'Допущения'!$E$26</f>
        <v/>
      </c>
      <c r="AA86" s="15">
        <f>AA84*'Допущения'!$E$26</f>
        <v/>
      </c>
      <c r="AB86" s="15">
        <f>SUM(D86:AA86)</f>
        <v/>
      </c>
    </row>
    <row r="87">
      <c r="A87" t="inlineStr">
        <is>
          <t>C12</t>
        </is>
      </c>
      <c r="B87" t="inlineStr">
        <is>
          <t>Локальный marketplace</t>
        </is>
      </c>
      <c r="C87" t="inlineStr">
        <is>
          <t>RECREV</t>
        </is>
      </c>
      <c r="D87" s="15">
        <f>D85*'Допущения'!$F$26</f>
        <v/>
      </c>
      <c r="E87" s="15">
        <f>E85*'Допущения'!$F$26</f>
        <v/>
      </c>
      <c r="F87" s="15">
        <f>F85*'Допущения'!$F$26</f>
        <v/>
      </c>
      <c r="G87" s="15">
        <f>G85*'Допущения'!$F$26</f>
        <v/>
      </c>
      <c r="H87" s="15">
        <f>H85*'Допущения'!$F$26</f>
        <v/>
      </c>
      <c r="I87" s="15">
        <f>I85*'Допущения'!$F$26</f>
        <v/>
      </c>
      <c r="J87" s="15">
        <f>J85*'Допущения'!$F$26</f>
        <v/>
      </c>
      <c r="K87" s="15">
        <f>K85*'Допущения'!$F$26</f>
        <v/>
      </c>
      <c r="L87" s="15">
        <f>L85*'Допущения'!$F$26</f>
        <v/>
      </c>
      <c r="M87" s="15">
        <f>M85*'Допущения'!$F$26</f>
        <v/>
      </c>
      <c r="N87" s="15">
        <f>N85*'Допущения'!$F$26</f>
        <v/>
      </c>
      <c r="O87" s="15">
        <f>O85*'Допущения'!$F$26</f>
        <v/>
      </c>
      <c r="P87" s="15">
        <f>P85*'Допущения'!$F$26</f>
        <v/>
      </c>
      <c r="Q87" s="15">
        <f>Q85*'Допущения'!$F$26</f>
        <v/>
      </c>
      <c r="R87" s="15">
        <f>R85*'Допущения'!$F$26</f>
        <v/>
      </c>
      <c r="S87" s="15">
        <f>S85*'Допущения'!$F$26</f>
        <v/>
      </c>
      <c r="T87" s="15">
        <f>T85*'Допущения'!$F$26</f>
        <v/>
      </c>
      <c r="U87" s="15">
        <f>U85*'Допущения'!$F$26</f>
        <v/>
      </c>
      <c r="V87" s="15">
        <f>V85*'Допущения'!$F$26</f>
        <v/>
      </c>
      <c r="W87" s="15">
        <f>W85*'Допущения'!$F$26</f>
        <v/>
      </c>
      <c r="X87" s="15">
        <f>X85*'Допущения'!$F$26</f>
        <v/>
      </c>
      <c r="Y87" s="15">
        <f>Y85*'Допущения'!$F$26</f>
        <v/>
      </c>
      <c r="Z87" s="15">
        <f>Z85*'Допущения'!$F$26</f>
        <v/>
      </c>
      <c r="AA87" s="15">
        <f>AA85*'Допущения'!$F$26</f>
        <v/>
      </c>
      <c r="AB87" s="15">
        <f>SUM(D87:AA87)</f>
        <v/>
      </c>
    </row>
    <row r="88">
      <c r="A88" t="inlineStr">
        <is>
          <t>C12</t>
        </is>
      </c>
      <c r="B88" t="inlineStr">
        <is>
          <t>Локальный marketplace</t>
        </is>
      </c>
      <c r="C88" t="inlineStr">
        <is>
          <t>TXNREV</t>
        </is>
      </c>
      <c r="D88" s="15">
        <f>D85*'Допущения'!$G$26</f>
        <v/>
      </c>
      <c r="E88" s="15">
        <f>E85*'Допущения'!$G$26</f>
        <v/>
      </c>
      <c r="F88" s="15">
        <f>F85*'Допущения'!$G$26</f>
        <v/>
      </c>
      <c r="G88" s="15">
        <f>G85*'Допущения'!$G$26</f>
        <v/>
      </c>
      <c r="H88" s="15">
        <f>H85*'Допущения'!$G$26</f>
        <v/>
      </c>
      <c r="I88" s="15">
        <f>I85*'Допущения'!$G$26</f>
        <v/>
      </c>
      <c r="J88" s="15">
        <f>J85*'Допущения'!$G$26</f>
        <v/>
      </c>
      <c r="K88" s="15">
        <f>K85*'Допущения'!$G$26</f>
        <v/>
      </c>
      <c r="L88" s="15">
        <f>L85*'Допущения'!$G$26</f>
        <v/>
      </c>
      <c r="M88" s="15">
        <f>M85*'Допущения'!$G$26</f>
        <v/>
      </c>
      <c r="N88" s="15">
        <f>N85*'Допущения'!$G$26</f>
        <v/>
      </c>
      <c r="O88" s="15">
        <f>O85*'Допущения'!$G$26</f>
        <v/>
      </c>
      <c r="P88" s="15">
        <f>P85*'Допущения'!$G$26</f>
        <v/>
      </c>
      <c r="Q88" s="15">
        <f>Q85*'Допущения'!$G$26</f>
        <v/>
      </c>
      <c r="R88" s="15">
        <f>R85*'Допущения'!$G$26</f>
        <v/>
      </c>
      <c r="S88" s="15">
        <f>S85*'Допущения'!$G$26</f>
        <v/>
      </c>
      <c r="T88" s="15">
        <f>T85*'Допущения'!$G$26</f>
        <v/>
      </c>
      <c r="U88" s="15">
        <f>U85*'Допущения'!$G$26</f>
        <v/>
      </c>
      <c r="V88" s="15">
        <f>V85*'Допущения'!$G$26</f>
        <v/>
      </c>
      <c r="W88" s="15">
        <f>W85*'Допущения'!$G$26</f>
        <v/>
      </c>
      <c r="X88" s="15">
        <f>X85*'Допущения'!$G$26</f>
        <v/>
      </c>
      <c r="Y88" s="15">
        <f>Y85*'Допущения'!$G$26</f>
        <v/>
      </c>
      <c r="Z88" s="15">
        <f>Z85*'Допущения'!$G$26</f>
        <v/>
      </c>
      <c r="AA88" s="15">
        <f>AA85*'Допущения'!$G$26</f>
        <v/>
      </c>
      <c r="AB88" s="15">
        <f>SUM(D88:AA88)</f>
        <v/>
      </c>
    </row>
    <row r="89">
      <c r="A89" t="inlineStr">
        <is>
          <t>C12</t>
        </is>
      </c>
      <c r="B89" t="inlineStr">
        <is>
          <t>Локальный marketplace</t>
        </is>
      </c>
      <c r="C89" t="inlineStr">
        <is>
          <t>COGS</t>
        </is>
      </c>
      <c r="D89" s="15">
        <f>D84*('Допущения'!$C$26+'Допущения'!$D$26)</f>
        <v/>
      </c>
      <c r="E89" s="15">
        <f>E84*('Допущения'!$C$26+'Допущения'!$D$26)</f>
        <v/>
      </c>
      <c r="F89" s="15">
        <f>F84*('Допущения'!$C$26+'Допущения'!$D$26)</f>
        <v/>
      </c>
      <c r="G89" s="15">
        <f>G84*('Допущения'!$C$26+'Допущения'!$D$26)</f>
        <v/>
      </c>
      <c r="H89" s="15">
        <f>H84*('Допущения'!$C$26+'Допущения'!$D$26)</f>
        <v/>
      </c>
      <c r="I89" s="15">
        <f>I84*('Допущения'!$C$26+'Допущения'!$D$26)</f>
        <v/>
      </c>
      <c r="J89" s="15">
        <f>J84*('Допущения'!$C$26+'Допущения'!$D$26)</f>
        <v/>
      </c>
      <c r="K89" s="15">
        <f>K84*('Допущения'!$C$26+'Допущения'!$D$26)</f>
        <v/>
      </c>
      <c r="L89" s="15">
        <f>L84*('Допущения'!$C$26+'Допущения'!$D$26)</f>
        <v/>
      </c>
      <c r="M89" s="15">
        <f>M84*('Допущения'!$C$26+'Допущения'!$D$26)</f>
        <v/>
      </c>
      <c r="N89" s="15">
        <f>N84*('Допущения'!$C$26+'Допущения'!$D$26)</f>
        <v/>
      </c>
      <c r="O89" s="15">
        <f>O84*('Допущения'!$C$26+'Допущения'!$D$26)</f>
        <v/>
      </c>
      <c r="P89" s="15">
        <f>P84*('Допущения'!$C$26+'Допущения'!$D$26)</f>
        <v/>
      </c>
      <c r="Q89" s="15">
        <f>Q84*('Допущения'!$C$26+'Допущения'!$D$26)</f>
        <v/>
      </c>
      <c r="R89" s="15">
        <f>R84*('Допущения'!$C$26+'Допущения'!$D$26)</f>
        <v/>
      </c>
      <c r="S89" s="15">
        <f>S84*('Допущения'!$C$26+'Допущения'!$D$26)</f>
        <v/>
      </c>
      <c r="T89" s="15">
        <f>T84*('Допущения'!$C$26+'Допущения'!$D$26)</f>
        <v/>
      </c>
      <c r="U89" s="15">
        <f>U84*('Допущения'!$C$26+'Допущения'!$D$26)</f>
        <v/>
      </c>
      <c r="V89" s="15">
        <f>V84*('Допущения'!$C$26+'Допущения'!$D$26)</f>
        <v/>
      </c>
      <c r="W89" s="15">
        <f>W84*('Допущения'!$C$26+'Допущения'!$D$26)</f>
        <v/>
      </c>
      <c r="X89" s="15">
        <f>X84*('Допущения'!$C$26+'Допущения'!$D$26)</f>
        <v/>
      </c>
      <c r="Y89" s="15">
        <f>Y84*('Допущения'!$C$26+'Допущения'!$D$26)</f>
        <v/>
      </c>
      <c r="Z89" s="15">
        <f>Z84*('Допущения'!$C$26+'Допущения'!$D$26)</f>
        <v/>
      </c>
      <c r="AA89" s="15">
        <f>AA84*('Допущения'!$C$26+'Допущения'!$D$26)</f>
        <v/>
      </c>
      <c r="AB89" s="15">
        <f>SUM(D89:AA89)</f>
        <v/>
      </c>
    </row>
    <row r="90">
      <c r="A90" t="inlineStr">
        <is>
          <t>C12</t>
        </is>
      </c>
      <c r="B90" t="inlineStr">
        <is>
          <t>Локальный marketplace</t>
        </is>
      </c>
      <c r="C90" t="inlineStr">
        <is>
          <t>VARC</t>
        </is>
      </c>
      <c r="D90" s="15">
        <f>D85*'Допущения'!$H$26</f>
        <v/>
      </c>
      <c r="E90" s="15">
        <f>E85*'Допущения'!$H$26</f>
        <v/>
      </c>
      <c r="F90" s="15">
        <f>F85*'Допущения'!$H$26</f>
        <v/>
      </c>
      <c r="G90" s="15">
        <f>G85*'Допущения'!$H$26</f>
        <v/>
      </c>
      <c r="H90" s="15">
        <f>H85*'Допущения'!$H$26</f>
        <v/>
      </c>
      <c r="I90" s="15">
        <f>I85*'Допущения'!$H$26</f>
        <v/>
      </c>
      <c r="J90" s="15">
        <f>J85*'Допущения'!$H$26</f>
        <v/>
      </c>
      <c r="K90" s="15">
        <f>K85*'Допущения'!$H$26</f>
        <v/>
      </c>
      <c r="L90" s="15">
        <f>L85*'Допущения'!$H$26</f>
        <v/>
      </c>
      <c r="M90" s="15">
        <f>M85*'Допущения'!$H$26</f>
        <v/>
      </c>
      <c r="N90" s="15">
        <f>N85*'Допущения'!$H$26</f>
        <v/>
      </c>
      <c r="O90" s="15">
        <f>O85*'Допущения'!$H$26</f>
        <v/>
      </c>
      <c r="P90" s="15">
        <f>P85*'Допущения'!$H$26</f>
        <v/>
      </c>
      <c r="Q90" s="15">
        <f>Q85*'Допущения'!$H$26</f>
        <v/>
      </c>
      <c r="R90" s="15">
        <f>R85*'Допущения'!$H$26</f>
        <v/>
      </c>
      <c r="S90" s="15">
        <f>S85*'Допущения'!$H$26</f>
        <v/>
      </c>
      <c r="T90" s="15">
        <f>T85*'Допущения'!$H$26</f>
        <v/>
      </c>
      <c r="U90" s="15">
        <f>U85*'Допущения'!$H$26</f>
        <v/>
      </c>
      <c r="V90" s="15">
        <f>V85*'Допущения'!$H$26</f>
        <v/>
      </c>
      <c r="W90" s="15">
        <f>W85*'Допущения'!$H$26</f>
        <v/>
      </c>
      <c r="X90" s="15">
        <f>X85*'Допущения'!$H$26</f>
        <v/>
      </c>
      <c r="Y90" s="15">
        <f>Y85*'Допущения'!$H$26</f>
        <v/>
      </c>
      <c r="Z90" s="15">
        <f>Z85*'Допущения'!$H$26</f>
        <v/>
      </c>
      <c r="AA90" s="15">
        <f>AA85*'Допущения'!$H$26</f>
        <v/>
      </c>
      <c r="AB90" s="15">
        <f>SUM(D90:AA90)</f>
        <v/>
      </c>
    </row>
    <row r="91">
      <c r="A91" t="inlineStr">
        <is>
          <t>C13</t>
        </is>
      </c>
      <c r="B91" t="inlineStr">
        <is>
          <t>Робот-доставщик (аренда)</t>
        </is>
      </c>
      <c r="C91" t="inlineStr">
        <is>
          <t>NEWU</t>
        </is>
      </c>
      <c r="D91" s="15">
        <f>IF(D$3&gt;='Допущения'!$K$27,D$4*'Допущения'!$J$27*'Допущения'!$I$27,0)</f>
        <v/>
      </c>
      <c r="E91" s="15">
        <f>IF(E$3&gt;='Допущения'!$K$27,E$4*'Допущения'!$J$27*'Допущения'!$I$27,0)</f>
        <v/>
      </c>
      <c r="F91" s="15">
        <f>IF(F$3&gt;='Допущения'!$K$27,F$4*'Допущения'!$J$27*'Допущения'!$I$27,0)</f>
        <v/>
      </c>
      <c r="G91" s="15">
        <f>IF(G$3&gt;='Допущения'!$K$27,G$4*'Допущения'!$J$27*'Допущения'!$I$27,0)</f>
        <v/>
      </c>
      <c r="H91" s="15">
        <f>IF(H$3&gt;='Допущения'!$K$27,H$4*'Допущения'!$J$27*'Допущения'!$I$27,0)</f>
        <v/>
      </c>
      <c r="I91" s="15">
        <f>IF(I$3&gt;='Допущения'!$K$27,I$4*'Допущения'!$J$27*'Допущения'!$I$27,0)</f>
        <v/>
      </c>
      <c r="J91" s="15">
        <f>IF(J$3&gt;='Допущения'!$K$27,J$4*'Допущения'!$J$27*'Допущения'!$I$27,0)</f>
        <v/>
      </c>
      <c r="K91" s="15">
        <f>IF(K$3&gt;='Допущения'!$K$27,K$4*'Допущения'!$J$27*'Допущения'!$I$27,0)</f>
        <v/>
      </c>
      <c r="L91" s="15">
        <f>IF(L$3&gt;='Допущения'!$K$27,L$4*'Допущения'!$J$27*'Допущения'!$I$27,0)</f>
        <v/>
      </c>
      <c r="M91" s="15">
        <f>IF(M$3&gt;='Допущения'!$K$27,M$4*'Допущения'!$J$27*'Допущения'!$I$27,0)</f>
        <v/>
      </c>
      <c r="N91" s="15">
        <f>IF(N$3&gt;='Допущения'!$K$27,N$4*'Допущения'!$J$27*'Допущения'!$I$27,0)</f>
        <v/>
      </c>
      <c r="O91" s="15">
        <f>IF(O$3&gt;='Допущения'!$K$27,O$4*'Допущения'!$J$27*'Допущения'!$I$27,0)</f>
        <v/>
      </c>
      <c r="P91" s="15">
        <f>IF(P$3&gt;='Допущения'!$K$27,P$4*'Допущения'!$J$27*'Допущения'!$I$27,0)</f>
        <v/>
      </c>
      <c r="Q91" s="15">
        <f>IF(Q$3&gt;='Допущения'!$K$27,Q$4*'Допущения'!$J$27*'Допущения'!$I$27,0)</f>
        <v/>
      </c>
      <c r="R91" s="15">
        <f>IF(R$3&gt;='Допущения'!$K$27,R$4*'Допущения'!$J$27*'Допущения'!$I$27,0)</f>
        <v/>
      </c>
      <c r="S91" s="15">
        <f>IF(S$3&gt;='Допущения'!$K$27,S$4*'Допущения'!$J$27*'Допущения'!$I$27,0)</f>
        <v/>
      </c>
      <c r="T91" s="15">
        <f>IF(T$3&gt;='Допущения'!$K$27,T$4*'Допущения'!$J$27*'Допущения'!$I$27,0)</f>
        <v/>
      </c>
      <c r="U91" s="15">
        <f>IF(U$3&gt;='Допущения'!$K$27,U$4*'Допущения'!$J$27*'Допущения'!$I$27,0)</f>
        <v/>
      </c>
      <c r="V91" s="15">
        <f>IF(V$3&gt;='Допущения'!$K$27,V$4*'Допущения'!$J$27*'Допущения'!$I$27,0)</f>
        <v/>
      </c>
      <c r="W91" s="15">
        <f>IF(W$3&gt;='Допущения'!$K$27,W$4*'Допущения'!$J$27*'Допущения'!$I$27,0)</f>
        <v/>
      </c>
      <c r="X91" s="15">
        <f>IF(X$3&gt;='Допущения'!$K$27,X$4*'Допущения'!$J$27*'Допущения'!$I$27,0)</f>
        <v/>
      </c>
      <c r="Y91" s="15">
        <f>IF(Y$3&gt;='Допущения'!$K$27,Y$4*'Допущения'!$J$27*'Допущения'!$I$27,0)</f>
        <v/>
      </c>
      <c r="Z91" s="15">
        <f>IF(Z$3&gt;='Допущения'!$K$27,Z$4*'Допущения'!$J$27*'Допущения'!$I$27,0)</f>
        <v/>
      </c>
      <c r="AA91" s="15">
        <f>IF(AA$3&gt;='Допущения'!$K$27,AA$4*'Допущения'!$J$27*'Допущения'!$I$27,0)</f>
        <v/>
      </c>
      <c r="AB91" s="15">
        <f>SUM(D91:AA91)</f>
        <v/>
      </c>
    </row>
    <row r="92">
      <c r="A92" t="inlineStr">
        <is>
          <t>C13</t>
        </is>
      </c>
      <c r="B92" t="inlineStr">
        <is>
          <t>Робот-доставщик (аренда)</t>
        </is>
      </c>
      <c r="C92" t="inlineStr">
        <is>
          <t>ACTU</t>
        </is>
      </c>
      <c r="D92" s="15">
        <f>D91</f>
        <v/>
      </c>
      <c r="E92" s="15">
        <f>D92*(1-'Допущения'!$C$6)+E91</f>
        <v/>
      </c>
      <c r="F92" s="15">
        <f>E92*(1-'Допущения'!$C$6)+F91</f>
        <v/>
      </c>
      <c r="G92" s="15">
        <f>F92*(1-'Допущения'!$C$6)+G91</f>
        <v/>
      </c>
      <c r="H92" s="15">
        <f>G92*(1-'Допущения'!$C$6)+H91</f>
        <v/>
      </c>
      <c r="I92" s="15">
        <f>H92*(1-'Допущения'!$C$6)+I91</f>
        <v/>
      </c>
      <c r="J92" s="15">
        <f>I92*(1-'Допущения'!$C$6)+J91</f>
        <v/>
      </c>
      <c r="K92" s="15">
        <f>J92*(1-'Допущения'!$C$6)+K91</f>
        <v/>
      </c>
      <c r="L92" s="15">
        <f>K92*(1-'Допущения'!$C$6)+L91</f>
        <v/>
      </c>
      <c r="M92" s="15">
        <f>L92*(1-'Допущения'!$C$6)+M91</f>
        <v/>
      </c>
      <c r="N92" s="15">
        <f>M92*(1-'Допущения'!$C$6)+N91</f>
        <v/>
      </c>
      <c r="O92" s="15">
        <f>N92*(1-'Допущения'!$C$6)+O91</f>
        <v/>
      </c>
      <c r="P92" s="15">
        <f>O92*(1-'Допущения'!$C$6)+P91</f>
        <v/>
      </c>
      <c r="Q92" s="15">
        <f>P92*(1-'Допущения'!$C$6)+Q91</f>
        <v/>
      </c>
      <c r="R92" s="15">
        <f>Q92*(1-'Допущения'!$C$6)+R91</f>
        <v/>
      </c>
      <c r="S92" s="15">
        <f>R92*(1-'Допущения'!$C$6)+S91</f>
        <v/>
      </c>
      <c r="T92" s="15">
        <f>S92*(1-'Допущения'!$C$6)+T91</f>
        <v/>
      </c>
      <c r="U92" s="15">
        <f>T92*(1-'Допущения'!$C$6)+U91</f>
        <v/>
      </c>
      <c r="V92" s="15">
        <f>U92*(1-'Допущения'!$C$6)+V91</f>
        <v/>
      </c>
      <c r="W92" s="15">
        <f>V92*(1-'Допущения'!$C$6)+W91</f>
        <v/>
      </c>
      <c r="X92" s="15">
        <f>W92*(1-'Допущения'!$C$6)+X91</f>
        <v/>
      </c>
      <c r="Y92" s="15">
        <f>X92*(1-'Допущения'!$C$6)+Y91</f>
        <v/>
      </c>
      <c r="Z92" s="15">
        <f>Y92*(1-'Допущения'!$C$6)+Z91</f>
        <v/>
      </c>
      <c r="AA92" s="15">
        <f>Z92*(1-'Допущения'!$C$6)+AA91</f>
        <v/>
      </c>
      <c r="AB92" s="15">
        <f>SUM(D92:AA92)</f>
        <v/>
      </c>
    </row>
    <row r="93">
      <c r="A93" t="inlineStr">
        <is>
          <t>C13</t>
        </is>
      </c>
      <c r="B93" t="inlineStr">
        <is>
          <t>Робот-доставщик (аренда)</t>
        </is>
      </c>
      <c r="C93" t="inlineStr">
        <is>
          <t>HWREV</t>
        </is>
      </c>
      <c r="D93" s="15">
        <f>D91*'Допущения'!$E$27</f>
        <v/>
      </c>
      <c r="E93" s="15">
        <f>E91*'Допущения'!$E$27</f>
        <v/>
      </c>
      <c r="F93" s="15">
        <f>F91*'Допущения'!$E$27</f>
        <v/>
      </c>
      <c r="G93" s="15">
        <f>G91*'Допущения'!$E$27</f>
        <v/>
      </c>
      <c r="H93" s="15">
        <f>H91*'Допущения'!$E$27</f>
        <v/>
      </c>
      <c r="I93" s="15">
        <f>I91*'Допущения'!$E$27</f>
        <v/>
      </c>
      <c r="J93" s="15">
        <f>J91*'Допущения'!$E$27</f>
        <v/>
      </c>
      <c r="K93" s="15">
        <f>K91*'Допущения'!$E$27</f>
        <v/>
      </c>
      <c r="L93" s="15">
        <f>L91*'Допущения'!$E$27</f>
        <v/>
      </c>
      <c r="M93" s="15">
        <f>M91*'Допущения'!$E$27</f>
        <v/>
      </c>
      <c r="N93" s="15">
        <f>N91*'Допущения'!$E$27</f>
        <v/>
      </c>
      <c r="O93" s="15">
        <f>O91*'Допущения'!$E$27</f>
        <v/>
      </c>
      <c r="P93" s="15">
        <f>P91*'Допущения'!$E$27</f>
        <v/>
      </c>
      <c r="Q93" s="15">
        <f>Q91*'Допущения'!$E$27</f>
        <v/>
      </c>
      <c r="R93" s="15">
        <f>R91*'Допущения'!$E$27</f>
        <v/>
      </c>
      <c r="S93" s="15">
        <f>S91*'Допущения'!$E$27</f>
        <v/>
      </c>
      <c r="T93" s="15">
        <f>T91*'Допущения'!$E$27</f>
        <v/>
      </c>
      <c r="U93" s="15">
        <f>U91*'Допущения'!$E$27</f>
        <v/>
      </c>
      <c r="V93" s="15">
        <f>V91*'Допущения'!$E$27</f>
        <v/>
      </c>
      <c r="W93" s="15">
        <f>W91*'Допущения'!$E$27</f>
        <v/>
      </c>
      <c r="X93" s="15">
        <f>X91*'Допущения'!$E$27</f>
        <v/>
      </c>
      <c r="Y93" s="15">
        <f>Y91*'Допущения'!$E$27</f>
        <v/>
      </c>
      <c r="Z93" s="15">
        <f>Z91*'Допущения'!$E$27</f>
        <v/>
      </c>
      <c r="AA93" s="15">
        <f>AA91*'Допущения'!$E$27</f>
        <v/>
      </c>
      <c r="AB93" s="15">
        <f>SUM(D93:AA93)</f>
        <v/>
      </c>
    </row>
    <row r="94">
      <c r="A94" t="inlineStr">
        <is>
          <t>C13</t>
        </is>
      </c>
      <c r="B94" t="inlineStr">
        <is>
          <t>Робот-доставщик (аренда)</t>
        </is>
      </c>
      <c r="C94" t="inlineStr">
        <is>
          <t>RECREV</t>
        </is>
      </c>
      <c r="D94" s="15">
        <f>D92*'Допущения'!$F$27</f>
        <v/>
      </c>
      <c r="E94" s="15">
        <f>E92*'Допущения'!$F$27</f>
        <v/>
      </c>
      <c r="F94" s="15">
        <f>F92*'Допущения'!$F$27</f>
        <v/>
      </c>
      <c r="G94" s="15">
        <f>G92*'Допущения'!$F$27</f>
        <v/>
      </c>
      <c r="H94" s="15">
        <f>H92*'Допущения'!$F$27</f>
        <v/>
      </c>
      <c r="I94" s="15">
        <f>I92*'Допущения'!$F$27</f>
        <v/>
      </c>
      <c r="J94" s="15">
        <f>J92*'Допущения'!$F$27</f>
        <v/>
      </c>
      <c r="K94" s="15">
        <f>K92*'Допущения'!$F$27</f>
        <v/>
      </c>
      <c r="L94" s="15">
        <f>L92*'Допущения'!$F$27</f>
        <v/>
      </c>
      <c r="M94" s="15">
        <f>M92*'Допущения'!$F$27</f>
        <v/>
      </c>
      <c r="N94" s="15">
        <f>N92*'Допущения'!$F$27</f>
        <v/>
      </c>
      <c r="O94" s="15">
        <f>O92*'Допущения'!$F$27</f>
        <v/>
      </c>
      <c r="P94" s="15">
        <f>P92*'Допущения'!$F$27</f>
        <v/>
      </c>
      <c r="Q94" s="15">
        <f>Q92*'Допущения'!$F$27</f>
        <v/>
      </c>
      <c r="R94" s="15">
        <f>R92*'Допущения'!$F$27</f>
        <v/>
      </c>
      <c r="S94" s="15">
        <f>S92*'Допущения'!$F$27</f>
        <v/>
      </c>
      <c r="T94" s="15">
        <f>T92*'Допущения'!$F$27</f>
        <v/>
      </c>
      <c r="U94" s="15">
        <f>U92*'Допущения'!$F$27</f>
        <v/>
      </c>
      <c r="V94" s="15">
        <f>V92*'Допущения'!$F$27</f>
        <v/>
      </c>
      <c r="W94" s="15">
        <f>W92*'Допущения'!$F$27</f>
        <v/>
      </c>
      <c r="X94" s="15">
        <f>X92*'Допущения'!$F$27</f>
        <v/>
      </c>
      <c r="Y94" s="15">
        <f>Y92*'Допущения'!$F$27</f>
        <v/>
      </c>
      <c r="Z94" s="15">
        <f>Z92*'Допущения'!$F$27</f>
        <v/>
      </c>
      <c r="AA94" s="15">
        <f>AA92*'Допущения'!$F$27</f>
        <v/>
      </c>
      <c r="AB94" s="15">
        <f>SUM(D94:AA94)</f>
        <v/>
      </c>
    </row>
    <row r="95">
      <c r="A95" t="inlineStr">
        <is>
          <t>C13</t>
        </is>
      </c>
      <c r="B95" t="inlineStr">
        <is>
          <t>Робот-доставщик (аренда)</t>
        </is>
      </c>
      <c r="C95" t="inlineStr">
        <is>
          <t>TXNREV</t>
        </is>
      </c>
      <c r="D95" s="15">
        <f>D92*'Допущения'!$G$27</f>
        <v/>
      </c>
      <c r="E95" s="15">
        <f>E92*'Допущения'!$G$27</f>
        <v/>
      </c>
      <c r="F95" s="15">
        <f>F92*'Допущения'!$G$27</f>
        <v/>
      </c>
      <c r="G95" s="15">
        <f>G92*'Допущения'!$G$27</f>
        <v/>
      </c>
      <c r="H95" s="15">
        <f>H92*'Допущения'!$G$27</f>
        <v/>
      </c>
      <c r="I95" s="15">
        <f>I92*'Допущения'!$G$27</f>
        <v/>
      </c>
      <c r="J95" s="15">
        <f>J92*'Допущения'!$G$27</f>
        <v/>
      </c>
      <c r="K95" s="15">
        <f>K92*'Допущения'!$G$27</f>
        <v/>
      </c>
      <c r="L95" s="15">
        <f>L92*'Допущения'!$G$27</f>
        <v/>
      </c>
      <c r="M95" s="15">
        <f>M92*'Допущения'!$G$27</f>
        <v/>
      </c>
      <c r="N95" s="15">
        <f>N92*'Допущения'!$G$27</f>
        <v/>
      </c>
      <c r="O95" s="15">
        <f>O92*'Допущения'!$G$27</f>
        <v/>
      </c>
      <c r="P95" s="15">
        <f>P92*'Допущения'!$G$27</f>
        <v/>
      </c>
      <c r="Q95" s="15">
        <f>Q92*'Допущения'!$G$27</f>
        <v/>
      </c>
      <c r="R95" s="15">
        <f>R92*'Допущения'!$G$27</f>
        <v/>
      </c>
      <c r="S95" s="15">
        <f>S92*'Допущения'!$G$27</f>
        <v/>
      </c>
      <c r="T95" s="15">
        <f>T92*'Допущения'!$G$27</f>
        <v/>
      </c>
      <c r="U95" s="15">
        <f>U92*'Допущения'!$G$27</f>
        <v/>
      </c>
      <c r="V95" s="15">
        <f>V92*'Допущения'!$G$27</f>
        <v/>
      </c>
      <c r="W95" s="15">
        <f>W92*'Допущения'!$G$27</f>
        <v/>
      </c>
      <c r="X95" s="15">
        <f>X92*'Допущения'!$G$27</f>
        <v/>
      </c>
      <c r="Y95" s="15">
        <f>Y92*'Допущения'!$G$27</f>
        <v/>
      </c>
      <c r="Z95" s="15">
        <f>Z92*'Допущения'!$G$27</f>
        <v/>
      </c>
      <c r="AA95" s="15">
        <f>AA92*'Допущения'!$G$27</f>
        <v/>
      </c>
      <c r="AB95" s="15">
        <f>SUM(D95:AA95)</f>
        <v/>
      </c>
    </row>
    <row r="96">
      <c r="A96" t="inlineStr">
        <is>
          <t>C13</t>
        </is>
      </c>
      <c r="B96" t="inlineStr">
        <is>
          <t>Робот-доставщик (аренда)</t>
        </is>
      </c>
      <c r="C96" t="inlineStr">
        <is>
          <t>COGS</t>
        </is>
      </c>
      <c r="D96" s="15">
        <f>D91*('Допущения'!$C$27+'Допущения'!$D$27)</f>
        <v/>
      </c>
      <c r="E96" s="15">
        <f>E91*('Допущения'!$C$27+'Допущения'!$D$27)</f>
        <v/>
      </c>
      <c r="F96" s="15">
        <f>F91*('Допущения'!$C$27+'Допущения'!$D$27)</f>
        <v/>
      </c>
      <c r="G96" s="15">
        <f>G91*('Допущения'!$C$27+'Допущения'!$D$27)</f>
        <v/>
      </c>
      <c r="H96" s="15">
        <f>H91*('Допущения'!$C$27+'Допущения'!$D$27)</f>
        <v/>
      </c>
      <c r="I96" s="15">
        <f>I91*('Допущения'!$C$27+'Допущения'!$D$27)</f>
        <v/>
      </c>
      <c r="J96" s="15">
        <f>J91*('Допущения'!$C$27+'Допущения'!$D$27)</f>
        <v/>
      </c>
      <c r="K96" s="15">
        <f>K91*('Допущения'!$C$27+'Допущения'!$D$27)</f>
        <v/>
      </c>
      <c r="L96" s="15">
        <f>L91*('Допущения'!$C$27+'Допущения'!$D$27)</f>
        <v/>
      </c>
      <c r="M96" s="15">
        <f>M91*('Допущения'!$C$27+'Допущения'!$D$27)</f>
        <v/>
      </c>
      <c r="N96" s="15">
        <f>N91*('Допущения'!$C$27+'Допущения'!$D$27)</f>
        <v/>
      </c>
      <c r="O96" s="15">
        <f>O91*('Допущения'!$C$27+'Допущения'!$D$27)</f>
        <v/>
      </c>
      <c r="P96" s="15">
        <f>P91*('Допущения'!$C$27+'Допущения'!$D$27)</f>
        <v/>
      </c>
      <c r="Q96" s="15">
        <f>Q91*('Допущения'!$C$27+'Допущения'!$D$27)</f>
        <v/>
      </c>
      <c r="R96" s="15">
        <f>R91*('Допущения'!$C$27+'Допущения'!$D$27)</f>
        <v/>
      </c>
      <c r="S96" s="15">
        <f>S91*('Допущения'!$C$27+'Допущения'!$D$27)</f>
        <v/>
      </c>
      <c r="T96" s="15">
        <f>T91*('Допущения'!$C$27+'Допущения'!$D$27)</f>
        <v/>
      </c>
      <c r="U96" s="15">
        <f>U91*('Допущения'!$C$27+'Допущения'!$D$27)</f>
        <v/>
      </c>
      <c r="V96" s="15">
        <f>V91*('Допущения'!$C$27+'Допущения'!$D$27)</f>
        <v/>
      </c>
      <c r="W96" s="15">
        <f>W91*('Допущения'!$C$27+'Допущения'!$D$27)</f>
        <v/>
      </c>
      <c r="X96" s="15">
        <f>X91*('Допущения'!$C$27+'Допущения'!$D$27)</f>
        <v/>
      </c>
      <c r="Y96" s="15">
        <f>Y91*('Допущения'!$C$27+'Допущения'!$D$27)</f>
        <v/>
      </c>
      <c r="Z96" s="15">
        <f>Z91*('Допущения'!$C$27+'Допущения'!$D$27)</f>
        <v/>
      </c>
      <c r="AA96" s="15">
        <f>AA91*('Допущения'!$C$27+'Допущения'!$D$27)</f>
        <v/>
      </c>
      <c r="AB96" s="15">
        <f>SUM(D96:AA96)</f>
        <v/>
      </c>
    </row>
    <row r="97">
      <c r="A97" t="inlineStr">
        <is>
          <t>C13</t>
        </is>
      </c>
      <c r="B97" t="inlineStr">
        <is>
          <t>Робот-доставщик (аренда)</t>
        </is>
      </c>
      <c r="C97" t="inlineStr">
        <is>
          <t>VARC</t>
        </is>
      </c>
      <c r="D97" s="15">
        <f>D92*'Допущения'!$H$27</f>
        <v/>
      </c>
      <c r="E97" s="15">
        <f>E92*'Допущения'!$H$27</f>
        <v/>
      </c>
      <c r="F97" s="15">
        <f>F92*'Допущения'!$H$27</f>
        <v/>
      </c>
      <c r="G97" s="15">
        <f>G92*'Допущения'!$H$27</f>
        <v/>
      </c>
      <c r="H97" s="15">
        <f>H92*'Допущения'!$H$27</f>
        <v/>
      </c>
      <c r="I97" s="15">
        <f>I92*'Допущения'!$H$27</f>
        <v/>
      </c>
      <c r="J97" s="15">
        <f>J92*'Допущения'!$H$27</f>
        <v/>
      </c>
      <c r="K97" s="15">
        <f>K92*'Допущения'!$H$27</f>
        <v/>
      </c>
      <c r="L97" s="15">
        <f>L92*'Допущения'!$H$27</f>
        <v/>
      </c>
      <c r="M97" s="15">
        <f>M92*'Допущения'!$H$27</f>
        <v/>
      </c>
      <c r="N97" s="15">
        <f>N92*'Допущения'!$H$27</f>
        <v/>
      </c>
      <c r="O97" s="15">
        <f>O92*'Допущения'!$H$27</f>
        <v/>
      </c>
      <c r="P97" s="15">
        <f>P92*'Допущения'!$H$27</f>
        <v/>
      </c>
      <c r="Q97" s="15">
        <f>Q92*'Допущения'!$H$27</f>
        <v/>
      </c>
      <c r="R97" s="15">
        <f>R92*'Допущения'!$H$27</f>
        <v/>
      </c>
      <c r="S97" s="15">
        <f>S92*'Допущения'!$H$27</f>
        <v/>
      </c>
      <c r="T97" s="15">
        <f>T92*'Допущения'!$H$27</f>
        <v/>
      </c>
      <c r="U97" s="15">
        <f>U92*'Допущения'!$H$27</f>
        <v/>
      </c>
      <c r="V97" s="15">
        <f>V92*'Допущения'!$H$27</f>
        <v/>
      </c>
      <c r="W97" s="15">
        <f>W92*'Допущения'!$H$27</f>
        <v/>
      </c>
      <c r="X97" s="15">
        <f>X92*'Допущения'!$H$27</f>
        <v/>
      </c>
      <c r="Y97" s="15">
        <f>Y92*'Допущения'!$H$27</f>
        <v/>
      </c>
      <c r="Z97" s="15">
        <f>Z92*'Допущения'!$H$27</f>
        <v/>
      </c>
      <c r="AA97" s="15">
        <f>AA92*'Допущения'!$H$27</f>
        <v/>
      </c>
      <c r="AB97" s="15">
        <f>SUM(D97:AA97)</f>
        <v/>
      </c>
    </row>
    <row r="98">
      <c r="A98" t="inlineStr">
        <is>
          <t>C14</t>
        </is>
      </c>
      <c r="B98" t="inlineStr">
        <is>
          <t>Робот-уборщик (аренда)</t>
        </is>
      </c>
      <c r="C98" t="inlineStr">
        <is>
          <t>NEWU</t>
        </is>
      </c>
      <c r="D98" s="15">
        <f>IF(D$3&gt;='Допущения'!$K$28,D$4*'Допущения'!$J$28*'Допущения'!$I$28,0)</f>
        <v/>
      </c>
      <c r="E98" s="15">
        <f>IF(E$3&gt;='Допущения'!$K$28,E$4*'Допущения'!$J$28*'Допущения'!$I$28,0)</f>
        <v/>
      </c>
      <c r="F98" s="15">
        <f>IF(F$3&gt;='Допущения'!$K$28,F$4*'Допущения'!$J$28*'Допущения'!$I$28,0)</f>
        <v/>
      </c>
      <c r="G98" s="15">
        <f>IF(G$3&gt;='Допущения'!$K$28,G$4*'Допущения'!$J$28*'Допущения'!$I$28,0)</f>
        <v/>
      </c>
      <c r="H98" s="15">
        <f>IF(H$3&gt;='Допущения'!$K$28,H$4*'Допущения'!$J$28*'Допущения'!$I$28,0)</f>
        <v/>
      </c>
      <c r="I98" s="15">
        <f>IF(I$3&gt;='Допущения'!$K$28,I$4*'Допущения'!$J$28*'Допущения'!$I$28,0)</f>
        <v/>
      </c>
      <c r="J98" s="15">
        <f>IF(J$3&gt;='Допущения'!$K$28,J$4*'Допущения'!$J$28*'Допущения'!$I$28,0)</f>
        <v/>
      </c>
      <c r="K98" s="15">
        <f>IF(K$3&gt;='Допущения'!$K$28,K$4*'Допущения'!$J$28*'Допущения'!$I$28,0)</f>
        <v/>
      </c>
      <c r="L98" s="15">
        <f>IF(L$3&gt;='Допущения'!$K$28,L$4*'Допущения'!$J$28*'Допущения'!$I$28,0)</f>
        <v/>
      </c>
      <c r="M98" s="15">
        <f>IF(M$3&gt;='Допущения'!$K$28,M$4*'Допущения'!$J$28*'Допущения'!$I$28,0)</f>
        <v/>
      </c>
      <c r="N98" s="15">
        <f>IF(N$3&gt;='Допущения'!$K$28,N$4*'Допущения'!$J$28*'Допущения'!$I$28,0)</f>
        <v/>
      </c>
      <c r="O98" s="15">
        <f>IF(O$3&gt;='Допущения'!$K$28,O$4*'Допущения'!$J$28*'Допущения'!$I$28,0)</f>
        <v/>
      </c>
      <c r="P98" s="15">
        <f>IF(P$3&gt;='Допущения'!$K$28,P$4*'Допущения'!$J$28*'Допущения'!$I$28,0)</f>
        <v/>
      </c>
      <c r="Q98" s="15">
        <f>IF(Q$3&gt;='Допущения'!$K$28,Q$4*'Допущения'!$J$28*'Допущения'!$I$28,0)</f>
        <v/>
      </c>
      <c r="R98" s="15">
        <f>IF(R$3&gt;='Допущения'!$K$28,R$4*'Допущения'!$J$28*'Допущения'!$I$28,0)</f>
        <v/>
      </c>
      <c r="S98" s="15">
        <f>IF(S$3&gt;='Допущения'!$K$28,S$4*'Допущения'!$J$28*'Допущения'!$I$28,0)</f>
        <v/>
      </c>
      <c r="T98" s="15">
        <f>IF(T$3&gt;='Допущения'!$K$28,T$4*'Допущения'!$J$28*'Допущения'!$I$28,0)</f>
        <v/>
      </c>
      <c r="U98" s="15">
        <f>IF(U$3&gt;='Допущения'!$K$28,U$4*'Допущения'!$J$28*'Допущения'!$I$28,0)</f>
        <v/>
      </c>
      <c r="V98" s="15">
        <f>IF(V$3&gt;='Допущения'!$K$28,V$4*'Допущения'!$J$28*'Допущения'!$I$28,0)</f>
        <v/>
      </c>
      <c r="W98" s="15">
        <f>IF(W$3&gt;='Допущения'!$K$28,W$4*'Допущения'!$J$28*'Допущения'!$I$28,0)</f>
        <v/>
      </c>
      <c r="X98" s="15">
        <f>IF(X$3&gt;='Допущения'!$K$28,X$4*'Допущения'!$J$28*'Допущения'!$I$28,0)</f>
        <v/>
      </c>
      <c r="Y98" s="15">
        <f>IF(Y$3&gt;='Допущения'!$K$28,Y$4*'Допущения'!$J$28*'Допущения'!$I$28,0)</f>
        <v/>
      </c>
      <c r="Z98" s="15">
        <f>IF(Z$3&gt;='Допущения'!$K$28,Z$4*'Допущения'!$J$28*'Допущения'!$I$28,0)</f>
        <v/>
      </c>
      <c r="AA98" s="15">
        <f>IF(AA$3&gt;='Допущения'!$K$28,AA$4*'Допущения'!$J$28*'Допущения'!$I$28,0)</f>
        <v/>
      </c>
      <c r="AB98" s="15">
        <f>SUM(D98:AA98)</f>
        <v/>
      </c>
    </row>
    <row r="99">
      <c r="A99" t="inlineStr">
        <is>
          <t>C14</t>
        </is>
      </c>
      <c r="B99" t="inlineStr">
        <is>
          <t>Робот-уборщик (аренда)</t>
        </is>
      </c>
      <c r="C99" t="inlineStr">
        <is>
          <t>ACTU</t>
        </is>
      </c>
      <c r="D99" s="15">
        <f>D98</f>
        <v/>
      </c>
      <c r="E99" s="15">
        <f>D99*(1-'Допущения'!$C$6)+E98</f>
        <v/>
      </c>
      <c r="F99" s="15">
        <f>E99*(1-'Допущения'!$C$6)+F98</f>
        <v/>
      </c>
      <c r="G99" s="15">
        <f>F99*(1-'Допущения'!$C$6)+G98</f>
        <v/>
      </c>
      <c r="H99" s="15">
        <f>G99*(1-'Допущения'!$C$6)+H98</f>
        <v/>
      </c>
      <c r="I99" s="15">
        <f>H99*(1-'Допущения'!$C$6)+I98</f>
        <v/>
      </c>
      <c r="J99" s="15">
        <f>I99*(1-'Допущения'!$C$6)+J98</f>
        <v/>
      </c>
      <c r="K99" s="15">
        <f>J99*(1-'Допущения'!$C$6)+K98</f>
        <v/>
      </c>
      <c r="L99" s="15">
        <f>K99*(1-'Допущения'!$C$6)+L98</f>
        <v/>
      </c>
      <c r="M99" s="15">
        <f>L99*(1-'Допущения'!$C$6)+M98</f>
        <v/>
      </c>
      <c r="N99" s="15">
        <f>M99*(1-'Допущения'!$C$6)+N98</f>
        <v/>
      </c>
      <c r="O99" s="15">
        <f>N99*(1-'Допущения'!$C$6)+O98</f>
        <v/>
      </c>
      <c r="P99" s="15">
        <f>O99*(1-'Допущения'!$C$6)+P98</f>
        <v/>
      </c>
      <c r="Q99" s="15">
        <f>P99*(1-'Допущения'!$C$6)+Q98</f>
        <v/>
      </c>
      <c r="R99" s="15">
        <f>Q99*(1-'Допущения'!$C$6)+R98</f>
        <v/>
      </c>
      <c r="S99" s="15">
        <f>R99*(1-'Допущения'!$C$6)+S98</f>
        <v/>
      </c>
      <c r="T99" s="15">
        <f>S99*(1-'Допущения'!$C$6)+T98</f>
        <v/>
      </c>
      <c r="U99" s="15">
        <f>T99*(1-'Допущения'!$C$6)+U98</f>
        <v/>
      </c>
      <c r="V99" s="15">
        <f>U99*(1-'Допущения'!$C$6)+V98</f>
        <v/>
      </c>
      <c r="W99" s="15">
        <f>V99*(1-'Допущения'!$C$6)+W98</f>
        <v/>
      </c>
      <c r="X99" s="15">
        <f>W99*(1-'Допущения'!$C$6)+X98</f>
        <v/>
      </c>
      <c r="Y99" s="15">
        <f>X99*(1-'Допущения'!$C$6)+Y98</f>
        <v/>
      </c>
      <c r="Z99" s="15">
        <f>Y99*(1-'Допущения'!$C$6)+Z98</f>
        <v/>
      </c>
      <c r="AA99" s="15">
        <f>Z99*(1-'Допущения'!$C$6)+AA98</f>
        <v/>
      </c>
      <c r="AB99" s="15">
        <f>SUM(D99:AA99)</f>
        <v/>
      </c>
    </row>
    <row r="100">
      <c r="A100" t="inlineStr">
        <is>
          <t>C14</t>
        </is>
      </c>
      <c r="B100" t="inlineStr">
        <is>
          <t>Робот-уборщик (аренда)</t>
        </is>
      </c>
      <c r="C100" t="inlineStr">
        <is>
          <t>HWREV</t>
        </is>
      </c>
      <c r="D100" s="15">
        <f>D98*'Допущения'!$E$28</f>
        <v/>
      </c>
      <c r="E100" s="15">
        <f>E98*'Допущения'!$E$28</f>
        <v/>
      </c>
      <c r="F100" s="15">
        <f>F98*'Допущения'!$E$28</f>
        <v/>
      </c>
      <c r="G100" s="15">
        <f>G98*'Допущения'!$E$28</f>
        <v/>
      </c>
      <c r="H100" s="15">
        <f>H98*'Допущения'!$E$28</f>
        <v/>
      </c>
      <c r="I100" s="15">
        <f>I98*'Допущения'!$E$28</f>
        <v/>
      </c>
      <c r="J100" s="15">
        <f>J98*'Допущения'!$E$28</f>
        <v/>
      </c>
      <c r="K100" s="15">
        <f>K98*'Допущения'!$E$28</f>
        <v/>
      </c>
      <c r="L100" s="15">
        <f>L98*'Допущения'!$E$28</f>
        <v/>
      </c>
      <c r="M100" s="15">
        <f>M98*'Допущения'!$E$28</f>
        <v/>
      </c>
      <c r="N100" s="15">
        <f>N98*'Допущения'!$E$28</f>
        <v/>
      </c>
      <c r="O100" s="15">
        <f>O98*'Допущения'!$E$28</f>
        <v/>
      </c>
      <c r="P100" s="15">
        <f>P98*'Допущения'!$E$28</f>
        <v/>
      </c>
      <c r="Q100" s="15">
        <f>Q98*'Допущения'!$E$28</f>
        <v/>
      </c>
      <c r="R100" s="15">
        <f>R98*'Допущения'!$E$28</f>
        <v/>
      </c>
      <c r="S100" s="15">
        <f>S98*'Допущения'!$E$28</f>
        <v/>
      </c>
      <c r="T100" s="15">
        <f>T98*'Допущения'!$E$28</f>
        <v/>
      </c>
      <c r="U100" s="15">
        <f>U98*'Допущения'!$E$28</f>
        <v/>
      </c>
      <c r="V100" s="15">
        <f>V98*'Допущения'!$E$28</f>
        <v/>
      </c>
      <c r="W100" s="15">
        <f>W98*'Допущения'!$E$28</f>
        <v/>
      </c>
      <c r="X100" s="15">
        <f>X98*'Допущения'!$E$28</f>
        <v/>
      </c>
      <c r="Y100" s="15">
        <f>Y98*'Допущения'!$E$28</f>
        <v/>
      </c>
      <c r="Z100" s="15">
        <f>Z98*'Допущения'!$E$28</f>
        <v/>
      </c>
      <c r="AA100" s="15">
        <f>AA98*'Допущения'!$E$28</f>
        <v/>
      </c>
      <c r="AB100" s="15">
        <f>SUM(D100:AA100)</f>
        <v/>
      </c>
    </row>
    <row r="101">
      <c r="A101" t="inlineStr">
        <is>
          <t>C14</t>
        </is>
      </c>
      <c r="B101" t="inlineStr">
        <is>
          <t>Робот-уборщик (аренда)</t>
        </is>
      </c>
      <c r="C101" t="inlineStr">
        <is>
          <t>RECREV</t>
        </is>
      </c>
      <c r="D101" s="15">
        <f>D99*'Допущения'!$F$28</f>
        <v/>
      </c>
      <c r="E101" s="15">
        <f>E99*'Допущения'!$F$28</f>
        <v/>
      </c>
      <c r="F101" s="15">
        <f>F99*'Допущения'!$F$28</f>
        <v/>
      </c>
      <c r="G101" s="15">
        <f>G99*'Допущения'!$F$28</f>
        <v/>
      </c>
      <c r="H101" s="15">
        <f>H99*'Допущения'!$F$28</f>
        <v/>
      </c>
      <c r="I101" s="15">
        <f>I99*'Допущения'!$F$28</f>
        <v/>
      </c>
      <c r="J101" s="15">
        <f>J99*'Допущения'!$F$28</f>
        <v/>
      </c>
      <c r="K101" s="15">
        <f>K99*'Допущения'!$F$28</f>
        <v/>
      </c>
      <c r="L101" s="15">
        <f>L99*'Допущения'!$F$28</f>
        <v/>
      </c>
      <c r="M101" s="15">
        <f>M99*'Допущения'!$F$28</f>
        <v/>
      </c>
      <c r="N101" s="15">
        <f>N99*'Допущения'!$F$28</f>
        <v/>
      </c>
      <c r="O101" s="15">
        <f>O99*'Допущения'!$F$28</f>
        <v/>
      </c>
      <c r="P101" s="15">
        <f>P99*'Допущения'!$F$28</f>
        <v/>
      </c>
      <c r="Q101" s="15">
        <f>Q99*'Допущения'!$F$28</f>
        <v/>
      </c>
      <c r="R101" s="15">
        <f>R99*'Допущения'!$F$28</f>
        <v/>
      </c>
      <c r="S101" s="15">
        <f>S99*'Допущения'!$F$28</f>
        <v/>
      </c>
      <c r="T101" s="15">
        <f>T99*'Допущения'!$F$28</f>
        <v/>
      </c>
      <c r="U101" s="15">
        <f>U99*'Допущения'!$F$28</f>
        <v/>
      </c>
      <c r="V101" s="15">
        <f>V99*'Допущения'!$F$28</f>
        <v/>
      </c>
      <c r="W101" s="15">
        <f>W99*'Допущения'!$F$28</f>
        <v/>
      </c>
      <c r="X101" s="15">
        <f>X99*'Допущения'!$F$28</f>
        <v/>
      </c>
      <c r="Y101" s="15">
        <f>Y99*'Допущения'!$F$28</f>
        <v/>
      </c>
      <c r="Z101" s="15">
        <f>Z99*'Допущения'!$F$28</f>
        <v/>
      </c>
      <c r="AA101" s="15">
        <f>AA99*'Допущения'!$F$28</f>
        <v/>
      </c>
      <c r="AB101" s="15">
        <f>SUM(D101:AA101)</f>
        <v/>
      </c>
    </row>
    <row r="102">
      <c r="A102" t="inlineStr">
        <is>
          <t>C14</t>
        </is>
      </c>
      <c r="B102" t="inlineStr">
        <is>
          <t>Робот-уборщик (аренда)</t>
        </is>
      </c>
      <c r="C102" t="inlineStr">
        <is>
          <t>TXNREV</t>
        </is>
      </c>
      <c r="D102" s="15">
        <f>D99*'Допущения'!$G$28</f>
        <v/>
      </c>
      <c r="E102" s="15">
        <f>E99*'Допущения'!$G$28</f>
        <v/>
      </c>
      <c r="F102" s="15">
        <f>F99*'Допущения'!$G$28</f>
        <v/>
      </c>
      <c r="G102" s="15">
        <f>G99*'Допущения'!$G$28</f>
        <v/>
      </c>
      <c r="H102" s="15">
        <f>H99*'Допущения'!$G$28</f>
        <v/>
      </c>
      <c r="I102" s="15">
        <f>I99*'Допущения'!$G$28</f>
        <v/>
      </c>
      <c r="J102" s="15">
        <f>J99*'Допущения'!$G$28</f>
        <v/>
      </c>
      <c r="K102" s="15">
        <f>K99*'Допущения'!$G$28</f>
        <v/>
      </c>
      <c r="L102" s="15">
        <f>L99*'Допущения'!$G$28</f>
        <v/>
      </c>
      <c r="M102" s="15">
        <f>M99*'Допущения'!$G$28</f>
        <v/>
      </c>
      <c r="N102" s="15">
        <f>N99*'Допущения'!$G$28</f>
        <v/>
      </c>
      <c r="O102" s="15">
        <f>O99*'Допущения'!$G$28</f>
        <v/>
      </c>
      <c r="P102" s="15">
        <f>P99*'Допущения'!$G$28</f>
        <v/>
      </c>
      <c r="Q102" s="15">
        <f>Q99*'Допущения'!$G$28</f>
        <v/>
      </c>
      <c r="R102" s="15">
        <f>R99*'Допущения'!$G$28</f>
        <v/>
      </c>
      <c r="S102" s="15">
        <f>S99*'Допущения'!$G$28</f>
        <v/>
      </c>
      <c r="T102" s="15">
        <f>T99*'Допущения'!$G$28</f>
        <v/>
      </c>
      <c r="U102" s="15">
        <f>U99*'Допущения'!$G$28</f>
        <v/>
      </c>
      <c r="V102" s="15">
        <f>V99*'Допущения'!$G$28</f>
        <v/>
      </c>
      <c r="W102" s="15">
        <f>W99*'Допущения'!$G$28</f>
        <v/>
      </c>
      <c r="X102" s="15">
        <f>X99*'Допущения'!$G$28</f>
        <v/>
      </c>
      <c r="Y102" s="15">
        <f>Y99*'Допущения'!$G$28</f>
        <v/>
      </c>
      <c r="Z102" s="15">
        <f>Z99*'Допущения'!$G$28</f>
        <v/>
      </c>
      <c r="AA102" s="15">
        <f>AA99*'Допущения'!$G$28</f>
        <v/>
      </c>
      <c r="AB102" s="15">
        <f>SUM(D102:AA102)</f>
        <v/>
      </c>
    </row>
    <row r="103">
      <c r="A103" t="inlineStr">
        <is>
          <t>C14</t>
        </is>
      </c>
      <c r="B103" t="inlineStr">
        <is>
          <t>Робот-уборщик (аренда)</t>
        </is>
      </c>
      <c r="C103" t="inlineStr">
        <is>
          <t>COGS</t>
        </is>
      </c>
      <c r="D103" s="15">
        <f>D98*('Допущения'!$C$28+'Допущения'!$D$28)</f>
        <v/>
      </c>
      <c r="E103" s="15">
        <f>E98*('Допущения'!$C$28+'Допущения'!$D$28)</f>
        <v/>
      </c>
      <c r="F103" s="15">
        <f>F98*('Допущения'!$C$28+'Допущения'!$D$28)</f>
        <v/>
      </c>
      <c r="G103" s="15">
        <f>G98*('Допущения'!$C$28+'Допущения'!$D$28)</f>
        <v/>
      </c>
      <c r="H103" s="15">
        <f>H98*('Допущения'!$C$28+'Допущения'!$D$28)</f>
        <v/>
      </c>
      <c r="I103" s="15">
        <f>I98*('Допущения'!$C$28+'Допущения'!$D$28)</f>
        <v/>
      </c>
      <c r="J103" s="15">
        <f>J98*('Допущения'!$C$28+'Допущения'!$D$28)</f>
        <v/>
      </c>
      <c r="K103" s="15">
        <f>K98*('Допущения'!$C$28+'Допущения'!$D$28)</f>
        <v/>
      </c>
      <c r="L103" s="15">
        <f>L98*('Допущения'!$C$28+'Допущения'!$D$28)</f>
        <v/>
      </c>
      <c r="M103" s="15">
        <f>M98*('Допущения'!$C$28+'Допущения'!$D$28)</f>
        <v/>
      </c>
      <c r="N103" s="15">
        <f>N98*('Допущения'!$C$28+'Допущения'!$D$28)</f>
        <v/>
      </c>
      <c r="O103" s="15">
        <f>O98*('Допущения'!$C$28+'Допущения'!$D$28)</f>
        <v/>
      </c>
      <c r="P103" s="15">
        <f>P98*('Допущения'!$C$28+'Допущения'!$D$28)</f>
        <v/>
      </c>
      <c r="Q103" s="15">
        <f>Q98*('Допущения'!$C$28+'Допущения'!$D$28)</f>
        <v/>
      </c>
      <c r="R103" s="15">
        <f>R98*('Допущения'!$C$28+'Допущения'!$D$28)</f>
        <v/>
      </c>
      <c r="S103" s="15">
        <f>S98*('Допущения'!$C$28+'Допущения'!$D$28)</f>
        <v/>
      </c>
      <c r="T103" s="15">
        <f>T98*('Допущения'!$C$28+'Допущения'!$D$28)</f>
        <v/>
      </c>
      <c r="U103" s="15">
        <f>U98*('Допущения'!$C$28+'Допущения'!$D$28)</f>
        <v/>
      </c>
      <c r="V103" s="15">
        <f>V98*('Допущения'!$C$28+'Допущения'!$D$28)</f>
        <v/>
      </c>
      <c r="W103" s="15">
        <f>W98*('Допущения'!$C$28+'Допущения'!$D$28)</f>
        <v/>
      </c>
      <c r="X103" s="15">
        <f>X98*('Допущения'!$C$28+'Допущения'!$D$28)</f>
        <v/>
      </c>
      <c r="Y103" s="15">
        <f>Y98*('Допущения'!$C$28+'Допущения'!$D$28)</f>
        <v/>
      </c>
      <c r="Z103" s="15">
        <f>Z98*('Допущения'!$C$28+'Допущения'!$D$28)</f>
        <v/>
      </c>
      <c r="AA103" s="15">
        <f>AA98*('Допущения'!$C$28+'Допущения'!$D$28)</f>
        <v/>
      </c>
      <c r="AB103" s="15">
        <f>SUM(D103:AA103)</f>
        <v/>
      </c>
    </row>
    <row r="104">
      <c r="A104" t="inlineStr">
        <is>
          <t>C14</t>
        </is>
      </c>
      <c r="B104" t="inlineStr">
        <is>
          <t>Робот-уборщик (аренда)</t>
        </is>
      </c>
      <c r="C104" t="inlineStr">
        <is>
          <t>VARC</t>
        </is>
      </c>
      <c r="D104" s="15">
        <f>D99*'Допущения'!$H$28</f>
        <v/>
      </c>
      <c r="E104" s="15">
        <f>E99*'Допущения'!$H$28</f>
        <v/>
      </c>
      <c r="F104" s="15">
        <f>F99*'Допущения'!$H$28</f>
        <v/>
      </c>
      <c r="G104" s="15">
        <f>G99*'Допущения'!$H$28</f>
        <v/>
      </c>
      <c r="H104" s="15">
        <f>H99*'Допущения'!$H$28</f>
        <v/>
      </c>
      <c r="I104" s="15">
        <f>I99*'Допущения'!$H$28</f>
        <v/>
      </c>
      <c r="J104" s="15">
        <f>J99*'Допущения'!$H$28</f>
        <v/>
      </c>
      <c r="K104" s="15">
        <f>K99*'Допущения'!$H$28</f>
        <v/>
      </c>
      <c r="L104" s="15">
        <f>L99*'Допущения'!$H$28</f>
        <v/>
      </c>
      <c r="M104" s="15">
        <f>M99*'Допущения'!$H$28</f>
        <v/>
      </c>
      <c r="N104" s="15">
        <f>N99*'Допущения'!$H$28</f>
        <v/>
      </c>
      <c r="O104" s="15">
        <f>O99*'Допущения'!$H$28</f>
        <v/>
      </c>
      <c r="P104" s="15">
        <f>P99*'Допущения'!$H$28</f>
        <v/>
      </c>
      <c r="Q104" s="15">
        <f>Q99*'Допущения'!$H$28</f>
        <v/>
      </c>
      <c r="R104" s="15">
        <f>R99*'Допущения'!$H$28</f>
        <v/>
      </c>
      <c r="S104" s="15">
        <f>S99*'Допущения'!$H$28</f>
        <v/>
      </c>
      <c r="T104" s="15">
        <f>T99*'Допущения'!$H$28</f>
        <v/>
      </c>
      <c r="U104" s="15">
        <f>U99*'Допущения'!$H$28</f>
        <v/>
      </c>
      <c r="V104" s="15">
        <f>V99*'Допущения'!$H$28</f>
        <v/>
      </c>
      <c r="W104" s="15">
        <f>W99*'Допущения'!$H$28</f>
        <v/>
      </c>
      <c r="X104" s="15">
        <f>X99*'Допущения'!$H$28</f>
        <v/>
      </c>
      <c r="Y104" s="15">
        <f>Y99*'Допущения'!$H$28</f>
        <v/>
      </c>
      <c r="Z104" s="15">
        <f>Z99*'Допущения'!$H$28</f>
        <v/>
      </c>
      <c r="AA104" s="15">
        <f>AA99*'Допущения'!$H$28</f>
        <v/>
      </c>
      <c r="AB104" s="15">
        <f>SUM(D104:AA104)</f>
        <v/>
      </c>
    </row>
    <row r="105">
      <c r="A105" t="inlineStr">
        <is>
          <t>C15</t>
        </is>
      </c>
      <c r="B105" t="inlineStr">
        <is>
          <t>Регулируемый vending (только fee лицензированного партнёра)</t>
        </is>
      </c>
      <c r="C105" t="inlineStr">
        <is>
          <t>NEWU</t>
        </is>
      </c>
      <c r="D105" s="15">
        <f>IF(D$3&gt;='Допущения'!$K$29,D$4*'Допущения'!$J$29*'Допущения'!$I$29,0)</f>
        <v/>
      </c>
      <c r="E105" s="15">
        <f>IF(E$3&gt;='Допущения'!$K$29,E$4*'Допущения'!$J$29*'Допущения'!$I$29,0)</f>
        <v/>
      </c>
      <c r="F105" s="15">
        <f>IF(F$3&gt;='Допущения'!$K$29,F$4*'Допущения'!$J$29*'Допущения'!$I$29,0)</f>
        <v/>
      </c>
      <c r="G105" s="15">
        <f>IF(G$3&gt;='Допущения'!$K$29,G$4*'Допущения'!$J$29*'Допущения'!$I$29,0)</f>
        <v/>
      </c>
      <c r="H105" s="15">
        <f>IF(H$3&gt;='Допущения'!$K$29,H$4*'Допущения'!$J$29*'Допущения'!$I$29,0)</f>
        <v/>
      </c>
      <c r="I105" s="15">
        <f>IF(I$3&gt;='Допущения'!$K$29,I$4*'Допущения'!$J$29*'Допущения'!$I$29,0)</f>
        <v/>
      </c>
      <c r="J105" s="15">
        <f>IF(J$3&gt;='Допущения'!$K$29,J$4*'Допущения'!$J$29*'Допущения'!$I$29,0)</f>
        <v/>
      </c>
      <c r="K105" s="15">
        <f>IF(K$3&gt;='Допущения'!$K$29,K$4*'Допущения'!$J$29*'Допущения'!$I$29,0)</f>
        <v/>
      </c>
      <c r="L105" s="15">
        <f>IF(L$3&gt;='Допущения'!$K$29,L$4*'Допущения'!$J$29*'Допущения'!$I$29,0)</f>
        <v/>
      </c>
      <c r="M105" s="15">
        <f>IF(M$3&gt;='Допущения'!$K$29,M$4*'Допущения'!$J$29*'Допущения'!$I$29,0)</f>
        <v/>
      </c>
      <c r="N105" s="15">
        <f>IF(N$3&gt;='Допущения'!$K$29,N$4*'Допущения'!$J$29*'Допущения'!$I$29,0)</f>
        <v/>
      </c>
      <c r="O105" s="15">
        <f>IF(O$3&gt;='Допущения'!$K$29,O$4*'Допущения'!$J$29*'Допущения'!$I$29,0)</f>
        <v/>
      </c>
      <c r="P105" s="15">
        <f>IF(P$3&gt;='Допущения'!$K$29,P$4*'Допущения'!$J$29*'Допущения'!$I$29,0)</f>
        <v/>
      </c>
      <c r="Q105" s="15">
        <f>IF(Q$3&gt;='Допущения'!$K$29,Q$4*'Допущения'!$J$29*'Допущения'!$I$29,0)</f>
        <v/>
      </c>
      <c r="R105" s="15">
        <f>IF(R$3&gt;='Допущения'!$K$29,R$4*'Допущения'!$J$29*'Допущения'!$I$29,0)</f>
        <v/>
      </c>
      <c r="S105" s="15">
        <f>IF(S$3&gt;='Допущения'!$K$29,S$4*'Допущения'!$J$29*'Допущения'!$I$29,0)</f>
        <v/>
      </c>
      <c r="T105" s="15">
        <f>IF(T$3&gt;='Допущения'!$K$29,T$4*'Допущения'!$J$29*'Допущения'!$I$29,0)</f>
        <v/>
      </c>
      <c r="U105" s="15">
        <f>IF(U$3&gt;='Допущения'!$K$29,U$4*'Допущения'!$J$29*'Допущения'!$I$29,0)</f>
        <v/>
      </c>
      <c r="V105" s="15">
        <f>IF(V$3&gt;='Допущения'!$K$29,V$4*'Допущения'!$J$29*'Допущения'!$I$29,0)</f>
        <v/>
      </c>
      <c r="W105" s="15">
        <f>IF(W$3&gt;='Допущения'!$K$29,W$4*'Допущения'!$J$29*'Допущения'!$I$29,0)</f>
        <v/>
      </c>
      <c r="X105" s="15">
        <f>IF(X$3&gt;='Допущения'!$K$29,X$4*'Допущения'!$J$29*'Допущения'!$I$29,0)</f>
        <v/>
      </c>
      <c r="Y105" s="15">
        <f>IF(Y$3&gt;='Допущения'!$K$29,Y$4*'Допущения'!$J$29*'Допущения'!$I$29,0)</f>
        <v/>
      </c>
      <c r="Z105" s="15">
        <f>IF(Z$3&gt;='Допущения'!$K$29,Z$4*'Допущения'!$J$29*'Допущения'!$I$29,0)</f>
        <v/>
      </c>
      <c r="AA105" s="15">
        <f>IF(AA$3&gt;='Допущения'!$K$29,AA$4*'Допущения'!$J$29*'Допущения'!$I$29,0)</f>
        <v/>
      </c>
      <c r="AB105" s="15">
        <f>SUM(D105:AA105)</f>
        <v/>
      </c>
    </row>
    <row r="106">
      <c r="A106" t="inlineStr">
        <is>
          <t>C15</t>
        </is>
      </c>
      <c r="B106" t="inlineStr">
        <is>
          <t>Регулируемый vending (только fee лицензированного партнёра)</t>
        </is>
      </c>
      <c r="C106" t="inlineStr">
        <is>
          <t>ACTU</t>
        </is>
      </c>
      <c r="D106" s="15">
        <f>D105</f>
        <v/>
      </c>
      <c r="E106" s="15">
        <f>D106*(1-'Допущения'!$C$6)+E105</f>
        <v/>
      </c>
      <c r="F106" s="15">
        <f>E106*(1-'Допущения'!$C$6)+F105</f>
        <v/>
      </c>
      <c r="G106" s="15">
        <f>F106*(1-'Допущения'!$C$6)+G105</f>
        <v/>
      </c>
      <c r="H106" s="15">
        <f>G106*(1-'Допущения'!$C$6)+H105</f>
        <v/>
      </c>
      <c r="I106" s="15">
        <f>H106*(1-'Допущения'!$C$6)+I105</f>
        <v/>
      </c>
      <c r="J106" s="15">
        <f>I106*(1-'Допущения'!$C$6)+J105</f>
        <v/>
      </c>
      <c r="K106" s="15">
        <f>J106*(1-'Допущения'!$C$6)+K105</f>
        <v/>
      </c>
      <c r="L106" s="15">
        <f>K106*(1-'Допущения'!$C$6)+L105</f>
        <v/>
      </c>
      <c r="M106" s="15">
        <f>L106*(1-'Допущения'!$C$6)+M105</f>
        <v/>
      </c>
      <c r="N106" s="15">
        <f>M106*(1-'Допущения'!$C$6)+N105</f>
        <v/>
      </c>
      <c r="O106" s="15">
        <f>N106*(1-'Допущения'!$C$6)+O105</f>
        <v/>
      </c>
      <c r="P106" s="15">
        <f>O106*(1-'Допущения'!$C$6)+P105</f>
        <v/>
      </c>
      <c r="Q106" s="15">
        <f>P106*(1-'Допущения'!$C$6)+Q105</f>
        <v/>
      </c>
      <c r="R106" s="15">
        <f>Q106*(1-'Допущения'!$C$6)+R105</f>
        <v/>
      </c>
      <c r="S106" s="15">
        <f>R106*(1-'Допущения'!$C$6)+S105</f>
        <v/>
      </c>
      <c r="T106" s="15">
        <f>S106*(1-'Допущения'!$C$6)+T105</f>
        <v/>
      </c>
      <c r="U106" s="15">
        <f>T106*(1-'Допущения'!$C$6)+U105</f>
        <v/>
      </c>
      <c r="V106" s="15">
        <f>U106*(1-'Допущения'!$C$6)+V105</f>
        <v/>
      </c>
      <c r="W106" s="15">
        <f>V106*(1-'Допущения'!$C$6)+W105</f>
        <v/>
      </c>
      <c r="X106" s="15">
        <f>W106*(1-'Допущения'!$C$6)+X105</f>
        <v/>
      </c>
      <c r="Y106" s="15">
        <f>X106*(1-'Допущения'!$C$6)+Y105</f>
        <v/>
      </c>
      <c r="Z106" s="15">
        <f>Y106*(1-'Допущения'!$C$6)+Z105</f>
        <v/>
      </c>
      <c r="AA106" s="15">
        <f>Z106*(1-'Допущения'!$C$6)+AA105</f>
        <v/>
      </c>
      <c r="AB106" s="15">
        <f>SUM(D106:AA106)</f>
        <v/>
      </c>
    </row>
    <row r="107">
      <c r="A107" t="inlineStr">
        <is>
          <t>C15</t>
        </is>
      </c>
      <c r="B107" t="inlineStr">
        <is>
          <t>Регулируемый vending (только fee лицензированного партнёра)</t>
        </is>
      </c>
      <c r="C107" t="inlineStr">
        <is>
          <t>HWREV</t>
        </is>
      </c>
      <c r="D107" s="15">
        <f>D105*'Допущения'!$E$29</f>
        <v/>
      </c>
      <c r="E107" s="15">
        <f>E105*'Допущения'!$E$29</f>
        <v/>
      </c>
      <c r="F107" s="15">
        <f>F105*'Допущения'!$E$29</f>
        <v/>
      </c>
      <c r="G107" s="15">
        <f>G105*'Допущения'!$E$29</f>
        <v/>
      </c>
      <c r="H107" s="15">
        <f>H105*'Допущения'!$E$29</f>
        <v/>
      </c>
      <c r="I107" s="15">
        <f>I105*'Допущения'!$E$29</f>
        <v/>
      </c>
      <c r="J107" s="15">
        <f>J105*'Допущения'!$E$29</f>
        <v/>
      </c>
      <c r="K107" s="15">
        <f>K105*'Допущения'!$E$29</f>
        <v/>
      </c>
      <c r="L107" s="15">
        <f>L105*'Допущения'!$E$29</f>
        <v/>
      </c>
      <c r="M107" s="15">
        <f>M105*'Допущения'!$E$29</f>
        <v/>
      </c>
      <c r="N107" s="15">
        <f>N105*'Допущения'!$E$29</f>
        <v/>
      </c>
      <c r="O107" s="15">
        <f>O105*'Допущения'!$E$29</f>
        <v/>
      </c>
      <c r="P107" s="15">
        <f>P105*'Допущения'!$E$29</f>
        <v/>
      </c>
      <c r="Q107" s="15">
        <f>Q105*'Допущения'!$E$29</f>
        <v/>
      </c>
      <c r="R107" s="15">
        <f>R105*'Допущения'!$E$29</f>
        <v/>
      </c>
      <c r="S107" s="15">
        <f>S105*'Допущения'!$E$29</f>
        <v/>
      </c>
      <c r="T107" s="15">
        <f>T105*'Допущения'!$E$29</f>
        <v/>
      </c>
      <c r="U107" s="15">
        <f>U105*'Допущения'!$E$29</f>
        <v/>
      </c>
      <c r="V107" s="15">
        <f>V105*'Допущения'!$E$29</f>
        <v/>
      </c>
      <c r="W107" s="15">
        <f>W105*'Допущения'!$E$29</f>
        <v/>
      </c>
      <c r="X107" s="15">
        <f>X105*'Допущения'!$E$29</f>
        <v/>
      </c>
      <c r="Y107" s="15">
        <f>Y105*'Допущения'!$E$29</f>
        <v/>
      </c>
      <c r="Z107" s="15">
        <f>Z105*'Допущения'!$E$29</f>
        <v/>
      </c>
      <c r="AA107" s="15">
        <f>AA105*'Допущения'!$E$29</f>
        <v/>
      </c>
      <c r="AB107" s="15">
        <f>SUM(D107:AA107)</f>
        <v/>
      </c>
    </row>
    <row r="108">
      <c r="A108" t="inlineStr">
        <is>
          <t>C15</t>
        </is>
      </c>
      <c r="B108" t="inlineStr">
        <is>
          <t>Регулируемый vending (только fee лицензированного партнёра)</t>
        </is>
      </c>
      <c r="C108" t="inlineStr">
        <is>
          <t>RECREV</t>
        </is>
      </c>
      <c r="D108" s="15">
        <f>D106*'Допущения'!$F$29</f>
        <v/>
      </c>
      <c r="E108" s="15">
        <f>E106*'Допущения'!$F$29</f>
        <v/>
      </c>
      <c r="F108" s="15">
        <f>F106*'Допущения'!$F$29</f>
        <v/>
      </c>
      <c r="G108" s="15">
        <f>G106*'Допущения'!$F$29</f>
        <v/>
      </c>
      <c r="H108" s="15">
        <f>H106*'Допущения'!$F$29</f>
        <v/>
      </c>
      <c r="I108" s="15">
        <f>I106*'Допущения'!$F$29</f>
        <v/>
      </c>
      <c r="J108" s="15">
        <f>J106*'Допущения'!$F$29</f>
        <v/>
      </c>
      <c r="K108" s="15">
        <f>K106*'Допущения'!$F$29</f>
        <v/>
      </c>
      <c r="L108" s="15">
        <f>L106*'Допущения'!$F$29</f>
        <v/>
      </c>
      <c r="M108" s="15">
        <f>M106*'Допущения'!$F$29</f>
        <v/>
      </c>
      <c r="N108" s="15">
        <f>N106*'Допущения'!$F$29</f>
        <v/>
      </c>
      <c r="O108" s="15">
        <f>O106*'Допущения'!$F$29</f>
        <v/>
      </c>
      <c r="P108" s="15">
        <f>P106*'Допущения'!$F$29</f>
        <v/>
      </c>
      <c r="Q108" s="15">
        <f>Q106*'Допущения'!$F$29</f>
        <v/>
      </c>
      <c r="R108" s="15">
        <f>R106*'Допущения'!$F$29</f>
        <v/>
      </c>
      <c r="S108" s="15">
        <f>S106*'Допущения'!$F$29</f>
        <v/>
      </c>
      <c r="T108" s="15">
        <f>T106*'Допущения'!$F$29</f>
        <v/>
      </c>
      <c r="U108" s="15">
        <f>U106*'Допущения'!$F$29</f>
        <v/>
      </c>
      <c r="V108" s="15">
        <f>V106*'Допущения'!$F$29</f>
        <v/>
      </c>
      <c r="W108" s="15">
        <f>W106*'Допущения'!$F$29</f>
        <v/>
      </c>
      <c r="X108" s="15">
        <f>X106*'Допущения'!$F$29</f>
        <v/>
      </c>
      <c r="Y108" s="15">
        <f>Y106*'Допущения'!$F$29</f>
        <v/>
      </c>
      <c r="Z108" s="15">
        <f>Z106*'Допущения'!$F$29</f>
        <v/>
      </c>
      <c r="AA108" s="15">
        <f>AA106*'Допущения'!$F$29</f>
        <v/>
      </c>
      <c r="AB108" s="15">
        <f>SUM(D108:AA108)</f>
        <v/>
      </c>
    </row>
    <row r="109">
      <c r="A109" t="inlineStr">
        <is>
          <t>C15</t>
        </is>
      </c>
      <c r="B109" t="inlineStr">
        <is>
          <t>Регулируемый vending (только fee лицензированного партнёра)</t>
        </is>
      </c>
      <c r="C109" t="inlineStr">
        <is>
          <t>TXNREV</t>
        </is>
      </c>
      <c r="D109" s="15">
        <f>D106*'Допущения'!$G$29</f>
        <v/>
      </c>
      <c r="E109" s="15">
        <f>E106*'Допущения'!$G$29</f>
        <v/>
      </c>
      <c r="F109" s="15">
        <f>F106*'Допущения'!$G$29</f>
        <v/>
      </c>
      <c r="G109" s="15">
        <f>G106*'Допущения'!$G$29</f>
        <v/>
      </c>
      <c r="H109" s="15">
        <f>H106*'Допущения'!$G$29</f>
        <v/>
      </c>
      <c r="I109" s="15">
        <f>I106*'Допущения'!$G$29</f>
        <v/>
      </c>
      <c r="J109" s="15">
        <f>J106*'Допущения'!$G$29</f>
        <v/>
      </c>
      <c r="K109" s="15">
        <f>K106*'Допущения'!$G$29</f>
        <v/>
      </c>
      <c r="L109" s="15">
        <f>L106*'Допущения'!$G$29</f>
        <v/>
      </c>
      <c r="M109" s="15">
        <f>M106*'Допущения'!$G$29</f>
        <v/>
      </c>
      <c r="N109" s="15">
        <f>N106*'Допущения'!$G$29</f>
        <v/>
      </c>
      <c r="O109" s="15">
        <f>O106*'Допущения'!$G$29</f>
        <v/>
      </c>
      <c r="P109" s="15">
        <f>P106*'Допущения'!$G$29</f>
        <v/>
      </c>
      <c r="Q109" s="15">
        <f>Q106*'Допущения'!$G$29</f>
        <v/>
      </c>
      <c r="R109" s="15">
        <f>R106*'Допущения'!$G$29</f>
        <v/>
      </c>
      <c r="S109" s="15">
        <f>S106*'Допущения'!$G$29</f>
        <v/>
      </c>
      <c r="T109" s="15">
        <f>T106*'Допущения'!$G$29</f>
        <v/>
      </c>
      <c r="U109" s="15">
        <f>U106*'Допущения'!$G$29</f>
        <v/>
      </c>
      <c r="V109" s="15">
        <f>V106*'Допущения'!$G$29</f>
        <v/>
      </c>
      <c r="W109" s="15">
        <f>W106*'Допущения'!$G$29</f>
        <v/>
      </c>
      <c r="X109" s="15">
        <f>X106*'Допущения'!$G$29</f>
        <v/>
      </c>
      <c r="Y109" s="15">
        <f>Y106*'Допущения'!$G$29</f>
        <v/>
      </c>
      <c r="Z109" s="15">
        <f>Z106*'Допущения'!$G$29</f>
        <v/>
      </c>
      <c r="AA109" s="15">
        <f>AA106*'Допущения'!$G$29</f>
        <v/>
      </c>
      <c r="AB109" s="15">
        <f>SUM(D109:AA109)</f>
        <v/>
      </c>
    </row>
    <row r="110">
      <c r="A110" t="inlineStr">
        <is>
          <t>C15</t>
        </is>
      </c>
      <c r="B110" t="inlineStr">
        <is>
          <t>Регулируемый vending (только fee лицензированного партнёра)</t>
        </is>
      </c>
      <c r="C110" t="inlineStr">
        <is>
          <t>COGS</t>
        </is>
      </c>
      <c r="D110" s="15">
        <f>D105*('Допущения'!$C$29+'Допущения'!$D$29)</f>
        <v/>
      </c>
      <c r="E110" s="15">
        <f>E105*('Допущения'!$C$29+'Допущения'!$D$29)</f>
        <v/>
      </c>
      <c r="F110" s="15">
        <f>F105*('Допущения'!$C$29+'Допущения'!$D$29)</f>
        <v/>
      </c>
      <c r="G110" s="15">
        <f>G105*('Допущения'!$C$29+'Допущения'!$D$29)</f>
        <v/>
      </c>
      <c r="H110" s="15">
        <f>H105*('Допущения'!$C$29+'Допущения'!$D$29)</f>
        <v/>
      </c>
      <c r="I110" s="15">
        <f>I105*('Допущения'!$C$29+'Допущения'!$D$29)</f>
        <v/>
      </c>
      <c r="J110" s="15">
        <f>J105*('Допущения'!$C$29+'Допущения'!$D$29)</f>
        <v/>
      </c>
      <c r="K110" s="15">
        <f>K105*('Допущения'!$C$29+'Допущения'!$D$29)</f>
        <v/>
      </c>
      <c r="L110" s="15">
        <f>L105*('Допущения'!$C$29+'Допущения'!$D$29)</f>
        <v/>
      </c>
      <c r="M110" s="15">
        <f>M105*('Допущения'!$C$29+'Допущения'!$D$29)</f>
        <v/>
      </c>
      <c r="N110" s="15">
        <f>N105*('Допущения'!$C$29+'Допущения'!$D$29)</f>
        <v/>
      </c>
      <c r="O110" s="15">
        <f>O105*('Допущения'!$C$29+'Допущения'!$D$29)</f>
        <v/>
      </c>
      <c r="P110" s="15">
        <f>P105*('Допущения'!$C$29+'Допущения'!$D$29)</f>
        <v/>
      </c>
      <c r="Q110" s="15">
        <f>Q105*('Допущения'!$C$29+'Допущения'!$D$29)</f>
        <v/>
      </c>
      <c r="R110" s="15">
        <f>R105*('Допущения'!$C$29+'Допущения'!$D$29)</f>
        <v/>
      </c>
      <c r="S110" s="15">
        <f>S105*('Допущения'!$C$29+'Допущения'!$D$29)</f>
        <v/>
      </c>
      <c r="T110" s="15">
        <f>T105*('Допущения'!$C$29+'Допущения'!$D$29)</f>
        <v/>
      </c>
      <c r="U110" s="15">
        <f>U105*('Допущения'!$C$29+'Допущения'!$D$29)</f>
        <v/>
      </c>
      <c r="V110" s="15">
        <f>V105*('Допущения'!$C$29+'Допущения'!$D$29)</f>
        <v/>
      </c>
      <c r="W110" s="15">
        <f>W105*('Допущения'!$C$29+'Допущения'!$D$29)</f>
        <v/>
      </c>
      <c r="X110" s="15">
        <f>X105*('Допущения'!$C$29+'Допущения'!$D$29)</f>
        <v/>
      </c>
      <c r="Y110" s="15">
        <f>Y105*('Допущения'!$C$29+'Допущения'!$D$29)</f>
        <v/>
      </c>
      <c r="Z110" s="15">
        <f>Z105*('Допущения'!$C$29+'Допущения'!$D$29)</f>
        <v/>
      </c>
      <c r="AA110" s="15">
        <f>AA105*('Допущения'!$C$29+'Допущения'!$D$29)</f>
        <v/>
      </c>
      <c r="AB110" s="15">
        <f>SUM(D110:AA110)</f>
        <v/>
      </c>
    </row>
    <row r="111">
      <c r="A111" t="inlineStr">
        <is>
          <t>C15</t>
        </is>
      </c>
      <c r="B111" t="inlineStr">
        <is>
          <t>Регулируемый vending (только fee лицензированного партнёра)</t>
        </is>
      </c>
      <c r="C111" t="inlineStr">
        <is>
          <t>VARC</t>
        </is>
      </c>
      <c r="D111" s="15">
        <f>D106*'Допущения'!$H$29</f>
        <v/>
      </c>
      <c r="E111" s="15">
        <f>E106*'Допущения'!$H$29</f>
        <v/>
      </c>
      <c r="F111" s="15">
        <f>F106*'Допущения'!$H$29</f>
        <v/>
      </c>
      <c r="G111" s="15">
        <f>G106*'Допущения'!$H$29</f>
        <v/>
      </c>
      <c r="H111" s="15">
        <f>H106*'Допущения'!$H$29</f>
        <v/>
      </c>
      <c r="I111" s="15">
        <f>I106*'Допущения'!$H$29</f>
        <v/>
      </c>
      <c r="J111" s="15">
        <f>J106*'Допущения'!$H$29</f>
        <v/>
      </c>
      <c r="K111" s="15">
        <f>K106*'Допущения'!$H$29</f>
        <v/>
      </c>
      <c r="L111" s="15">
        <f>L106*'Допущения'!$H$29</f>
        <v/>
      </c>
      <c r="M111" s="15">
        <f>M106*'Допущения'!$H$29</f>
        <v/>
      </c>
      <c r="N111" s="15">
        <f>N106*'Допущения'!$H$29</f>
        <v/>
      </c>
      <c r="O111" s="15">
        <f>O106*'Допущения'!$H$29</f>
        <v/>
      </c>
      <c r="P111" s="15">
        <f>P106*'Допущения'!$H$29</f>
        <v/>
      </c>
      <c r="Q111" s="15">
        <f>Q106*'Допущения'!$H$29</f>
        <v/>
      </c>
      <c r="R111" s="15">
        <f>R106*'Допущения'!$H$29</f>
        <v/>
      </c>
      <c r="S111" s="15">
        <f>S106*'Допущения'!$H$29</f>
        <v/>
      </c>
      <c r="T111" s="15">
        <f>T106*'Допущения'!$H$29</f>
        <v/>
      </c>
      <c r="U111" s="15">
        <f>U106*'Допущения'!$H$29</f>
        <v/>
      </c>
      <c r="V111" s="15">
        <f>V106*'Допущения'!$H$29</f>
        <v/>
      </c>
      <c r="W111" s="15">
        <f>W106*'Допущения'!$H$29</f>
        <v/>
      </c>
      <c r="X111" s="15">
        <f>X106*'Допущения'!$H$29</f>
        <v/>
      </c>
      <c r="Y111" s="15">
        <f>Y106*'Допущения'!$H$29</f>
        <v/>
      </c>
      <c r="Z111" s="15">
        <f>Z106*'Допущения'!$H$29</f>
        <v/>
      </c>
      <c r="AA111" s="15">
        <f>AA106*'Допущения'!$H$29</f>
        <v/>
      </c>
      <c r="AB111" s="15">
        <f>SUM(D111:AA111)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D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2" max="2"/>
  </cols>
  <sheetData>
    <row r="1">
      <c r="B1" s="8" t="inlineStr">
        <is>
          <t>Модель запуска в Лигурии: hardware + agent-сервисы для отелей (EUR, без НДС)</t>
        </is>
      </c>
    </row>
    <row r="3">
      <c r="B3" s="3" t="inlineStr">
        <is>
          <t>Месяц</t>
        </is>
      </c>
      <c r="C3" s="3" t="n"/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inlineStr">
        <is>
          <t>Год 1</t>
        </is>
      </c>
      <c r="AC3" s="3" t="inlineStr">
        <is>
          <t>Год 2</t>
        </is>
      </c>
      <c r="AD3" s="3" t="inlineStr">
        <is>
          <t>24 мес.</t>
        </is>
      </c>
    </row>
    <row r="5">
      <c r="B5" s="16" t="inlineStr">
        <is>
          <t>Выручка: hardware и setup</t>
        </is>
      </c>
      <c r="D5" s="17">
        <f>SUMIF('Модель'!$C$7:$C$111,"HWREV",'Модель'!D$7:D$111)</f>
        <v/>
      </c>
      <c r="E5" s="17">
        <f>SUMIF('Модель'!$C$7:$C$111,"HWREV",'Модель'!E$7:E$111)</f>
        <v/>
      </c>
      <c r="F5" s="17">
        <f>SUMIF('Модель'!$C$7:$C$111,"HWREV",'Модель'!F$7:F$111)</f>
        <v/>
      </c>
      <c r="G5" s="17">
        <f>SUMIF('Модель'!$C$7:$C$111,"HWREV",'Модель'!G$7:G$111)</f>
        <v/>
      </c>
      <c r="H5" s="17">
        <f>SUMIF('Модель'!$C$7:$C$111,"HWREV",'Модель'!H$7:H$111)</f>
        <v/>
      </c>
      <c r="I5" s="17">
        <f>SUMIF('Модель'!$C$7:$C$111,"HWREV",'Модель'!I$7:I$111)</f>
        <v/>
      </c>
      <c r="J5" s="17">
        <f>SUMIF('Модель'!$C$7:$C$111,"HWREV",'Модель'!J$7:J$111)</f>
        <v/>
      </c>
      <c r="K5" s="17">
        <f>SUMIF('Модель'!$C$7:$C$111,"HWREV",'Модель'!K$7:K$111)</f>
        <v/>
      </c>
      <c r="L5" s="17">
        <f>SUMIF('Модель'!$C$7:$C$111,"HWREV",'Модель'!L$7:L$111)</f>
        <v/>
      </c>
      <c r="M5" s="17">
        <f>SUMIF('Модель'!$C$7:$C$111,"HWREV",'Модель'!M$7:M$111)</f>
        <v/>
      </c>
      <c r="N5" s="17">
        <f>SUMIF('Модель'!$C$7:$C$111,"HWREV",'Модель'!N$7:N$111)</f>
        <v/>
      </c>
      <c r="O5" s="17">
        <f>SUMIF('Модель'!$C$7:$C$111,"HWREV",'Модель'!O$7:O$111)</f>
        <v/>
      </c>
      <c r="P5" s="17">
        <f>SUMIF('Модель'!$C$7:$C$111,"HWREV",'Модель'!P$7:P$111)</f>
        <v/>
      </c>
      <c r="Q5" s="17">
        <f>SUMIF('Модель'!$C$7:$C$111,"HWREV",'Модель'!Q$7:Q$111)</f>
        <v/>
      </c>
      <c r="R5" s="17">
        <f>SUMIF('Модель'!$C$7:$C$111,"HWREV",'Модель'!R$7:R$111)</f>
        <v/>
      </c>
      <c r="S5" s="17">
        <f>SUMIF('Модель'!$C$7:$C$111,"HWREV",'Модель'!S$7:S$111)</f>
        <v/>
      </c>
      <c r="T5" s="17">
        <f>SUMIF('Модель'!$C$7:$C$111,"HWREV",'Модель'!T$7:T$111)</f>
        <v/>
      </c>
      <c r="U5" s="17">
        <f>SUMIF('Модель'!$C$7:$C$111,"HWREV",'Модель'!U$7:U$111)</f>
        <v/>
      </c>
      <c r="V5" s="17">
        <f>SUMIF('Модель'!$C$7:$C$111,"HWREV",'Модель'!V$7:V$111)</f>
        <v/>
      </c>
      <c r="W5" s="17">
        <f>SUMIF('Модель'!$C$7:$C$111,"HWREV",'Модель'!W$7:W$111)</f>
        <v/>
      </c>
      <c r="X5" s="17">
        <f>SUMIF('Модель'!$C$7:$C$111,"HWREV",'Модель'!X$7:X$111)</f>
        <v/>
      </c>
      <c r="Y5" s="17">
        <f>SUMIF('Модель'!$C$7:$C$111,"HWREV",'Модель'!Y$7:Y$111)</f>
        <v/>
      </c>
      <c r="Z5" s="17">
        <f>SUMIF('Модель'!$C$7:$C$111,"HWREV",'Модель'!Z$7:Z$111)</f>
        <v/>
      </c>
      <c r="AA5" s="17">
        <f>SUMIF('Модель'!$C$7:$C$111,"HWREV",'Модель'!AA$7:AA$111)</f>
        <v/>
      </c>
      <c r="AB5" s="17">
        <f>SUM(D5:O5)</f>
        <v/>
      </c>
      <c r="AC5" s="17">
        <f>SUM(P5:AA5)</f>
        <v/>
      </c>
      <c r="AD5" s="17">
        <f>SUM(D5:AA5)</f>
        <v/>
      </c>
    </row>
    <row r="6">
      <c r="B6" s="16" t="inlineStr">
        <is>
          <t>Выручка: recurring (SaaS/lease)</t>
        </is>
      </c>
      <c r="D6" s="17">
        <f>SUMIF('Модель'!$C$7:$C$111,"RECREV",'Модель'!D$7:D$111)</f>
        <v/>
      </c>
      <c r="E6" s="17">
        <f>SUMIF('Модель'!$C$7:$C$111,"RECREV",'Модель'!E$7:E$111)</f>
        <v/>
      </c>
      <c r="F6" s="17">
        <f>SUMIF('Модель'!$C$7:$C$111,"RECREV",'Модель'!F$7:F$111)</f>
        <v/>
      </c>
      <c r="G6" s="17">
        <f>SUMIF('Модель'!$C$7:$C$111,"RECREV",'Модель'!G$7:G$111)</f>
        <v/>
      </c>
      <c r="H6" s="17">
        <f>SUMIF('Модель'!$C$7:$C$111,"RECREV",'Модель'!H$7:H$111)</f>
        <v/>
      </c>
      <c r="I6" s="17">
        <f>SUMIF('Модель'!$C$7:$C$111,"RECREV",'Модель'!I$7:I$111)</f>
        <v/>
      </c>
      <c r="J6" s="17">
        <f>SUMIF('Модель'!$C$7:$C$111,"RECREV",'Модель'!J$7:J$111)</f>
        <v/>
      </c>
      <c r="K6" s="17">
        <f>SUMIF('Модель'!$C$7:$C$111,"RECREV",'Модель'!K$7:K$111)</f>
        <v/>
      </c>
      <c r="L6" s="17">
        <f>SUMIF('Модель'!$C$7:$C$111,"RECREV",'Модель'!L$7:L$111)</f>
        <v/>
      </c>
      <c r="M6" s="17">
        <f>SUMIF('Модель'!$C$7:$C$111,"RECREV",'Модель'!M$7:M$111)</f>
        <v/>
      </c>
      <c r="N6" s="17">
        <f>SUMIF('Модель'!$C$7:$C$111,"RECREV",'Модель'!N$7:N$111)</f>
        <v/>
      </c>
      <c r="O6" s="17">
        <f>SUMIF('Модель'!$C$7:$C$111,"RECREV",'Модель'!O$7:O$111)</f>
        <v/>
      </c>
      <c r="P6" s="17">
        <f>SUMIF('Модель'!$C$7:$C$111,"RECREV",'Модель'!P$7:P$111)</f>
        <v/>
      </c>
      <c r="Q6" s="17">
        <f>SUMIF('Модель'!$C$7:$C$111,"RECREV",'Модель'!Q$7:Q$111)</f>
        <v/>
      </c>
      <c r="R6" s="17">
        <f>SUMIF('Модель'!$C$7:$C$111,"RECREV",'Модель'!R$7:R$111)</f>
        <v/>
      </c>
      <c r="S6" s="17">
        <f>SUMIF('Модель'!$C$7:$C$111,"RECREV",'Модель'!S$7:S$111)</f>
        <v/>
      </c>
      <c r="T6" s="17">
        <f>SUMIF('Модель'!$C$7:$C$111,"RECREV",'Модель'!T$7:T$111)</f>
        <v/>
      </c>
      <c r="U6" s="17">
        <f>SUMIF('Модель'!$C$7:$C$111,"RECREV",'Модель'!U$7:U$111)</f>
        <v/>
      </c>
      <c r="V6" s="17">
        <f>SUMIF('Модель'!$C$7:$C$111,"RECREV",'Модель'!V$7:V$111)</f>
        <v/>
      </c>
      <c r="W6" s="17">
        <f>SUMIF('Модель'!$C$7:$C$111,"RECREV",'Модель'!W$7:W$111)</f>
        <v/>
      </c>
      <c r="X6" s="17">
        <f>SUMIF('Модель'!$C$7:$C$111,"RECREV",'Модель'!X$7:X$111)</f>
        <v/>
      </c>
      <c r="Y6" s="17">
        <f>SUMIF('Модель'!$C$7:$C$111,"RECREV",'Модель'!Y$7:Y$111)</f>
        <v/>
      </c>
      <c r="Z6" s="17">
        <f>SUMIF('Модель'!$C$7:$C$111,"RECREV",'Модель'!Z$7:Z$111)</f>
        <v/>
      </c>
      <c r="AA6" s="17">
        <f>SUMIF('Модель'!$C$7:$C$111,"RECREV",'Модель'!AA$7:AA$111)</f>
        <v/>
      </c>
      <c r="AB6" s="17">
        <f>SUM(D6:O6)</f>
        <v/>
      </c>
      <c r="AC6" s="17">
        <f>SUM(P6:AA6)</f>
        <v/>
      </c>
      <c r="AD6" s="17">
        <f>SUM(D6:AA6)</f>
        <v/>
      </c>
    </row>
    <row r="7">
      <c r="B7" s="16" t="inlineStr">
        <is>
          <t>Маржа транзакций</t>
        </is>
      </c>
      <c r="D7" s="17">
        <f>SUMIF('Модель'!$C$7:$C$111,"TXNREV",'Модель'!D$7:D$111)</f>
        <v/>
      </c>
      <c r="E7" s="17">
        <f>SUMIF('Модель'!$C$7:$C$111,"TXNREV",'Модель'!E$7:E$111)</f>
        <v/>
      </c>
      <c r="F7" s="17">
        <f>SUMIF('Модель'!$C$7:$C$111,"TXNREV",'Модель'!F$7:F$111)</f>
        <v/>
      </c>
      <c r="G7" s="17">
        <f>SUMIF('Модель'!$C$7:$C$111,"TXNREV",'Модель'!G$7:G$111)</f>
        <v/>
      </c>
      <c r="H7" s="17">
        <f>SUMIF('Модель'!$C$7:$C$111,"TXNREV",'Модель'!H$7:H$111)</f>
        <v/>
      </c>
      <c r="I7" s="17">
        <f>SUMIF('Модель'!$C$7:$C$111,"TXNREV",'Модель'!I$7:I$111)</f>
        <v/>
      </c>
      <c r="J7" s="17">
        <f>SUMIF('Модель'!$C$7:$C$111,"TXNREV",'Модель'!J$7:J$111)</f>
        <v/>
      </c>
      <c r="K7" s="17">
        <f>SUMIF('Модель'!$C$7:$C$111,"TXNREV",'Модель'!K$7:K$111)</f>
        <v/>
      </c>
      <c r="L7" s="17">
        <f>SUMIF('Модель'!$C$7:$C$111,"TXNREV",'Модель'!L$7:L$111)</f>
        <v/>
      </c>
      <c r="M7" s="17">
        <f>SUMIF('Модель'!$C$7:$C$111,"TXNREV",'Модель'!M$7:M$111)</f>
        <v/>
      </c>
      <c r="N7" s="17">
        <f>SUMIF('Модель'!$C$7:$C$111,"TXNREV",'Модель'!N$7:N$111)</f>
        <v/>
      </c>
      <c r="O7" s="17">
        <f>SUMIF('Модель'!$C$7:$C$111,"TXNREV",'Модель'!O$7:O$111)</f>
        <v/>
      </c>
      <c r="P7" s="17">
        <f>SUMIF('Модель'!$C$7:$C$111,"TXNREV",'Модель'!P$7:P$111)</f>
        <v/>
      </c>
      <c r="Q7" s="17">
        <f>SUMIF('Модель'!$C$7:$C$111,"TXNREV",'Модель'!Q$7:Q$111)</f>
        <v/>
      </c>
      <c r="R7" s="17">
        <f>SUMIF('Модель'!$C$7:$C$111,"TXNREV",'Модель'!R$7:R$111)</f>
        <v/>
      </c>
      <c r="S7" s="17">
        <f>SUMIF('Модель'!$C$7:$C$111,"TXNREV",'Модель'!S$7:S$111)</f>
        <v/>
      </c>
      <c r="T7" s="17">
        <f>SUMIF('Модель'!$C$7:$C$111,"TXNREV",'Модель'!T$7:T$111)</f>
        <v/>
      </c>
      <c r="U7" s="17">
        <f>SUMIF('Модель'!$C$7:$C$111,"TXNREV",'Модель'!U$7:U$111)</f>
        <v/>
      </c>
      <c r="V7" s="17">
        <f>SUMIF('Модель'!$C$7:$C$111,"TXNREV",'Модель'!V$7:V$111)</f>
        <v/>
      </c>
      <c r="W7" s="17">
        <f>SUMIF('Модель'!$C$7:$C$111,"TXNREV",'Модель'!W$7:W$111)</f>
        <v/>
      </c>
      <c r="X7" s="17">
        <f>SUMIF('Модель'!$C$7:$C$111,"TXNREV",'Модель'!X$7:X$111)</f>
        <v/>
      </c>
      <c r="Y7" s="17">
        <f>SUMIF('Модель'!$C$7:$C$111,"TXNREV",'Модель'!Y$7:Y$111)</f>
        <v/>
      </c>
      <c r="Z7" s="17">
        <f>SUMIF('Модель'!$C$7:$C$111,"TXNREV",'Модель'!Z$7:Z$111)</f>
        <v/>
      </c>
      <c r="AA7" s="17">
        <f>SUMIF('Модель'!$C$7:$C$111,"TXNREV",'Модель'!AA$7:AA$111)</f>
        <v/>
      </c>
      <c r="AB7" s="17">
        <f>SUM(D7:O7)</f>
        <v/>
      </c>
      <c r="AC7" s="17">
        <f>SUM(P7:AA7)</f>
        <v/>
      </c>
      <c r="AD7" s="17">
        <f>SUM(D7:AA7)</f>
        <v/>
      </c>
    </row>
    <row r="8">
      <c r="B8" s="8" t="inlineStr">
        <is>
          <t>Выручка всего</t>
        </is>
      </c>
      <c r="D8" s="17">
        <f>SUM(D5:D7)</f>
        <v/>
      </c>
      <c r="E8" s="17">
        <f>SUM(E5:E7)</f>
        <v/>
      </c>
      <c r="F8" s="17">
        <f>SUM(F5:F7)</f>
        <v/>
      </c>
      <c r="G8" s="17">
        <f>SUM(G5:G7)</f>
        <v/>
      </c>
      <c r="H8" s="17">
        <f>SUM(H5:H7)</f>
        <v/>
      </c>
      <c r="I8" s="17">
        <f>SUM(I5:I7)</f>
        <v/>
      </c>
      <c r="J8" s="17">
        <f>SUM(J5:J7)</f>
        <v/>
      </c>
      <c r="K8" s="17">
        <f>SUM(K5:K7)</f>
        <v/>
      </c>
      <c r="L8" s="17">
        <f>SUM(L5:L7)</f>
        <v/>
      </c>
      <c r="M8" s="17">
        <f>SUM(M5:M7)</f>
        <v/>
      </c>
      <c r="N8" s="17">
        <f>SUM(N5:N7)</f>
        <v/>
      </c>
      <c r="O8" s="17">
        <f>SUM(O5:O7)</f>
        <v/>
      </c>
      <c r="P8" s="17">
        <f>SUM(P5:P7)</f>
        <v/>
      </c>
      <c r="Q8" s="17">
        <f>SUM(Q5:Q7)</f>
        <v/>
      </c>
      <c r="R8" s="17">
        <f>SUM(R5:R7)</f>
        <v/>
      </c>
      <c r="S8" s="17">
        <f>SUM(S5:S7)</f>
        <v/>
      </c>
      <c r="T8" s="17">
        <f>SUM(T5:T7)</f>
        <v/>
      </c>
      <c r="U8" s="17">
        <f>SUM(U5:U7)</f>
        <v/>
      </c>
      <c r="V8" s="17">
        <f>SUM(V5:V7)</f>
        <v/>
      </c>
      <c r="W8" s="17">
        <f>SUM(W5:W7)</f>
        <v/>
      </c>
      <c r="X8" s="17">
        <f>SUM(X5:X7)</f>
        <v/>
      </c>
      <c r="Y8" s="17">
        <f>SUM(Y5:Y7)</f>
        <v/>
      </c>
      <c r="Z8" s="17">
        <f>SUM(Z5:Z7)</f>
        <v/>
      </c>
      <c r="AA8" s="17">
        <f>SUM(AA5:AA7)</f>
        <v/>
      </c>
      <c r="AB8" s="17">
        <f>SUM(D8:O8)</f>
        <v/>
      </c>
      <c r="AC8" s="17">
        <f>SUM(P8:AA8)</f>
        <v/>
      </c>
      <c r="AD8" s="17">
        <f>SUM(D8:AA8)</f>
        <v/>
      </c>
    </row>
    <row r="9">
      <c r="B9" s="16" t="inlineStr">
        <is>
          <t>Landed HW + установка</t>
        </is>
      </c>
      <c r="D9" s="17">
        <f>SUMIF('Модель'!$C$7:$C$111,"COGS",'Модель'!D$7:D$111)</f>
        <v/>
      </c>
      <c r="E9" s="17">
        <f>SUMIF('Модель'!$C$7:$C$111,"COGS",'Модель'!E$7:E$111)</f>
        <v/>
      </c>
      <c r="F9" s="17">
        <f>SUMIF('Модель'!$C$7:$C$111,"COGS",'Модель'!F$7:F$111)</f>
        <v/>
      </c>
      <c r="G9" s="17">
        <f>SUMIF('Модель'!$C$7:$C$111,"COGS",'Модель'!G$7:G$111)</f>
        <v/>
      </c>
      <c r="H9" s="17">
        <f>SUMIF('Модель'!$C$7:$C$111,"COGS",'Модель'!H$7:H$111)</f>
        <v/>
      </c>
      <c r="I9" s="17">
        <f>SUMIF('Модель'!$C$7:$C$111,"COGS",'Модель'!I$7:I$111)</f>
        <v/>
      </c>
      <c r="J9" s="17">
        <f>SUMIF('Модель'!$C$7:$C$111,"COGS",'Модель'!J$7:J$111)</f>
        <v/>
      </c>
      <c r="K9" s="17">
        <f>SUMIF('Модель'!$C$7:$C$111,"COGS",'Модель'!K$7:K$111)</f>
        <v/>
      </c>
      <c r="L9" s="17">
        <f>SUMIF('Модель'!$C$7:$C$111,"COGS",'Модель'!L$7:L$111)</f>
        <v/>
      </c>
      <c r="M9" s="17">
        <f>SUMIF('Модель'!$C$7:$C$111,"COGS",'Модель'!M$7:M$111)</f>
        <v/>
      </c>
      <c r="N9" s="17">
        <f>SUMIF('Модель'!$C$7:$C$111,"COGS",'Модель'!N$7:N$111)</f>
        <v/>
      </c>
      <c r="O9" s="17">
        <f>SUMIF('Модель'!$C$7:$C$111,"COGS",'Модель'!O$7:O$111)</f>
        <v/>
      </c>
      <c r="P9" s="17">
        <f>SUMIF('Модель'!$C$7:$C$111,"COGS",'Модель'!P$7:P$111)</f>
        <v/>
      </c>
      <c r="Q9" s="17">
        <f>SUMIF('Модель'!$C$7:$C$111,"COGS",'Модель'!Q$7:Q$111)</f>
        <v/>
      </c>
      <c r="R9" s="17">
        <f>SUMIF('Модель'!$C$7:$C$111,"COGS",'Модель'!R$7:R$111)</f>
        <v/>
      </c>
      <c r="S9" s="17">
        <f>SUMIF('Модель'!$C$7:$C$111,"COGS",'Модель'!S$7:S$111)</f>
        <v/>
      </c>
      <c r="T9" s="17">
        <f>SUMIF('Модель'!$C$7:$C$111,"COGS",'Модель'!T$7:T$111)</f>
        <v/>
      </c>
      <c r="U9" s="17">
        <f>SUMIF('Модель'!$C$7:$C$111,"COGS",'Модель'!U$7:U$111)</f>
        <v/>
      </c>
      <c r="V9" s="17">
        <f>SUMIF('Модель'!$C$7:$C$111,"COGS",'Модель'!V$7:V$111)</f>
        <v/>
      </c>
      <c r="W9" s="17">
        <f>SUMIF('Модель'!$C$7:$C$111,"COGS",'Модель'!W$7:W$111)</f>
        <v/>
      </c>
      <c r="X9" s="17">
        <f>SUMIF('Модель'!$C$7:$C$111,"COGS",'Модель'!X$7:X$111)</f>
        <v/>
      </c>
      <c r="Y9" s="17">
        <f>SUMIF('Модель'!$C$7:$C$111,"COGS",'Модель'!Y$7:Y$111)</f>
        <v/>
      </c>
      <c r="Z9" s="17">
        <f>SUMIF('Модель'!$C$7:$C$111,"COGS",'Модель'!Z$7:Z$111)</f>
        <v/>
      </c>
      <c r="AA9" s="17">
        <f>SUMIF('Модель'!$C$7:$C$111,"COGS",'Модель'!AA$7:AA$111)</f>
        <v/>
      </c>
      <c r="AB9" s="17">
        <f>SUM(D9:O9)</f>
        <v/>
      </c>
      <c r="AC9" s="17">
        <f>SUM(P9:AA9)</f>
        <v/>
      </c>
      <c r="AD9" s="17">
        <f>SUM(D9:AA9)</f>
        <v/>
      </c>
    </row>
    <row r="10">
      <c r="B10" s="16" t="inlineStr">
        <is>
          <t>Переменные затраты</t>
        </is>
      </c>
      <c r="D10" s="17">
        <f>SUMIF('Модель'!$C$7:$C$111,"VARC",'Модель'!D$7:D$111)</f>
        <v/>
      </c>
      <c r="E10" s="17">
        <f>SUMIF('Модель'!$C$7:$C$111,"VARC",'Модель'!E$7:E$111)</f>
        <v/>
      </c>
      <c r="F10" s="17">
        <f>SUMIF('Модель'!$C$7:$C$111,"VARC",'Модель'!F$7:F$111)</f>
        <v/>
      </c>
      <c r="G10" s="17">
        <f>SUMIF('Модель'!$C$7:$C$111,"VARC",'Модель'!G$7:G$111)</f>
        <v/>
      </c>
      <c r="H10" s="17">
        <f>SUMIF('Модель'!$C$7:$C$111,"VARC",'Модель'!H$7:H$111)</f>
        <v/>
      </c>
      <c r="I10" s="17">
        <f>SUMIF('Модель'!$C$7:$C$111,"VARC",'Модель'!I$7:I$111)</f>
        <v/>
      </c>
      <c r="J10" s="17">
        <f>SUMIF('Модель'!$C$7:$C$111,"VARC",'Модель'!J$7:J$111)</f>
        <v/>
      </c>
      <c r="K10" s="17">
        <f>SUMIF('Модель'!$C$7:$C$111,"VARC",'Модель'!K$7:K$111)</f>
        <v/>
      </c>
      <c r="L10" s="17">
        <f>SUMIF('Модель'!$C$7:$C$111,"VARC",'Модель'!L$7:L$111)</f>
        <v/>
      </c>
      <c r="M10" s="17">
        <f>SUMIF('Модель'!$C$7:$C$111,"VARC",'Модель'!M$7:M$111)</f>
        <v/>
      </c>
      <c r="N10" s="17">
        <f>SUMIF('Модель'!$C$7:$C$111,"VARC",'Модель'!N$7:N$111)</f>
        <v/>
      </c>
      <c r="O10" s="17">
        <f>SUMIF('Модель'!$C$7:$C$111,"VARC",'Модель'!O$7:O$111)</f>
        <v/>
      </c>
      <c r="P10" s="17">
        <f>SUMIF('Модель'!$C$7:$C$111,"VARC",'Модель'!P$7:P$111)</f>
        <v/>
      </c>
      <c r="Q10" s="17">
        <f>SUMIF('Модель'!$C$7:$C$111,"VARC",'Модель'!Q$7:Q$111)</f>
        <v/>
      </c>
      <c r="R10" s="17">
        <f>SUMIF('Модель'!$C$7:$C$111,"VARC",'Модель'!R$7:R$111)</f>
        <v/>
      </c>
      <c r="S10" s="17">
        <f>SUMIF('Модель'!$C$7:$C$111,"VARC",'Модель'!S$7:S$111)</f>
        <v/>
      </c>
      <c r="T10" s="17">
        <f>SUMIF('Модель'!$C$7:$C$111,"VARC",'Модель'!T$7:T$111)</f>
        <v/>
      </c>
      <c r="U10" s="17">
        <f>SUMIF('Модель'!$C$7:$C$111,"VARC",'Модель'!U$7:U$111)</f>
        <v/>
      </c>
      <c r="V10" s="17">
        <f>SUMIF('Модель'!$C$7:$C$111,"VARC",'Модель'!V$7:V$111)</f>
        <v/>
      </c>
      <c r="W10" s="17">
        <f>SUMIF('Модель'!$C$7:$C$111,"VARC",'Модель'!W$7:W$111)</f>
        <v/>
      </c>
      <c r="X10" s="17">
        <f>SUMIF('Модель'!$C$7:$C$111,"VARC",'Модель'!X$7:X$111)</f>
        <v/>
      </c>
      <c r="Y10" s="17">
        <f>SUMIF('Модель'!$C$7:$C$111,"VARC",'Модель'!Y$7:Y$111)</f>
        <v/>
      </c>
      <c r="Z10" s="17">
        <f>SUMIF('Модель'!$C$7:$C$111,"VARC",'Модель'!Z$7:Z$111)</f>
        <v/>
      </c>
      <c r="AA10" s="17">
        <f>SUMIF('Модель'!$C$7:$C$111,"VARC",'Модель'!AA$7:AA$111)</f>
        <v/>
      </c>
      <c r="AB10" s="17">
        <f>SUM(D10:O10)</f>
        <v/>
      </c>
      <c r="AC10" s="17">
        <f>SUM(P10:AA10)</f>
        <v/>
      </c>
      <c r="AD10" s="17">
        <f>SUM(D10:AA10)</f>
        <v/>
      </c>
    </row>
    <row r="11">
      <c r="B11" s="8" t="inlineStr">
        <is>
          <t>Валовая прибыль</t>
        </is>
      </c>
      <c r="D11" s="17">
        <f>D8-D9-D10</f>
        <v/>
      </c>
      <c r="E11" s="17">
        <f>E8-E9-E10</f>
        <v/>
      </c>
      <c r="F11" s="17">
        <f>F8-F9-F10</f>
        <v/>
      </c>
      <c r="G11" s="17">
        <f>G8-G9-G10</f>
        <v/>
      </c>
      <c r="H11" s="17">
        <f>H8-H9-H10</f>
        <v/>
      </c>
      <c r="I11" s="17">
        <f>I8-I9-I10</f>
        <v/>
      </c>
      <c r="J11" s="17">
        <f>J8-J9-J10</f>
        <v/>
      </c>
      <c r="K11" s="17">
        <f>K8-K9-K10</f>
        <v/>
      </c>
      <c r="L11" s="17">
        <f>L8-L9-L10</f>
        <v/>
      </c>
      <c r="M11" s="17">
        <f>M8-M9-M10</f>
        <v/>
      </c>
      <c r="N11" s="17">
        <f>N8-N9-N10</f>
        <v/>
      </c>
      <c r="O11" s="17">
        <f>O8-O9-O10</f>
        <v/>
      </c>
      <c r="P11" s="17">
        <f>P8-P9-P10</f>
        <v/>
      </c>
      <c r="Q11" s="17">
        <f>Q8-Q9-Q10</f>
        <v/>
      </c>
      <c r="R11" s="17">
        <f>R8-R9-R10</f>
        <v/>
      </c>
      <c r="S11" s="17">
        <f>S8-S9-S10</f>
        <v/>
      </c>
      <c r="T11" s="17">
        <f>T8-T9-T10</f>
        <v/>
      </c>
      <c r="U11" s="17">
        <f>U8-U9-U10</f>
        <v/>
      </c>
      <c r="V11" s="17">
        <f>V8-V9-V10</f>
        <v/>
      </c>
      <c r="W11" s="17">
        <f>W8-W9-W10</f>
        <v/>
      </c>
      <c r="X11" s="17">
        <f>X8-X9-X10</f>
        <v/>
      </c>
      <c r="Y11" s="17">
        <f>Y8-Y9-Y10</f>
        <v/>
      </c>
      <c r="Z11" s="17">
        <f>Z8-Z9-Z10</f>
        <v/>
      </c>
      <c r="AA11" s="17">
        <f>AA8-AA9-AA10</f>
        <v/>
      </c>
      <c r="AB11" s="17">
        <f>SUM(D11:O11)</f>
        <v/>
      </c>
      <c r="AC11" s="17">
        <f>SUM(P11:AA11)</f>
        <v/>
      </c>
      <c r="AD11" s="17">
        <f>SUM(D11:AA11)</f>
        <v/>
      </c>
    </row>
    <row r="12">
      <c r="B12" s="16" t="inlineStr">
        <is>
          <t>Валовая маржа %</t>
        </is>
      </c>
      <c r="D12" s="18">
        <f>IF(D8=0,0,D11/D8)</f>
        <v/>
      </c>
      <c r="E12" s="18">
        <f>IF(E8=0,0,E11/E8)</f>
        <v/>
      </c>
      <c r="F12" s="18">
        <f>IF(F8=0,0,F11/F8)</f>
        <v/>
      </c>
      <c r="G12" s="18">
        <f>IF(G8=0,0,G11/G8)</f>
        <v/>
      </c>
      <c r="H12" s="18">
        <f>IF(H8=0,0,H11/H8)</f>
        <v/>
      </c>
      <c r="I12" s="18">
        <f>IF(I8=0,0,I11/I8)</f>
        <v/>
      </c>
      <c r="J12" s="18">
        <f>IF(J8=0,0,J11/J8)</f>
        <v/>
      </c>
      <c r="K12" s="18">
        <f>IF(K8=0,0,K11/K8)</f>
        <v/>
      </c>
      <c r="L12" s="18">
        <f>IF(L8=0,0,L11/L8)</f>
        <v/>
      </c>
      <c r="M12" s="18">
        <f>IF(M8=0,0,M11/M8)</f>
        <v/>
      </c>
      <c r="N12" s="18">
        <f>IF(N8=0,0,N11/N8)</f>
        <v/>
      </c>
      <c r="O12" s="18">
        <f>IF(O8=0,0,O11/O8)</f>
        <v/>
      </c>
      <c r="P12" s="18">
        <f>IF(P8=0,0,P11/P8)</f>
        <v/>
      </c>
      <c r="Q12" s="18">
        <f>IF(Q8=0,0,Q11/Q8)</f>
        <v/>
      </c>
      <c r="R12" s="18">
        <f>IF(R8=0,0,R11/R8)</f>
        <v/>
      </c>
      <c r="S12" s="18">
        <f>IF(S8=0,0,S11/S8)</f>
        <v/>
      </c>
      <c r="T12" s="18">
        <f>IF(T8=0,0,T11/T8)</f>
        <v/>
      </c>
      <c r="U12" s="18">
        <f>IF(U8=0,0,U11/U8)</f>
        <v/>
      </c>
      <c r="V12" s="18">
        <f>IF(V8=0,0,V11/V8)</f>
        <v/>
      </c>
      <c r="W12" s="18">
        <f>IF(W8=0,0,W11/W8)</f>
        <v/>
      </c>
      <c r="X12" s="18">
        <f>IF(X8=0,0,X11/X8)</f>
        <v/>
      </c>
      <c r="Y12" s="18">
        <f>IF(Y8=0,0,Y11/Y8)</f>
        <v/>
      </c>
      <c r="Z12" s="18">
        <f>IF(Z8=0,0,Z11/Z8)</f>
        <v/>
      </c>
      <c r="AA12" s="18">
        <f>IF(AA8=0,0,AA11/AA8)</f>
        <v/>
      </c>
      <c r="AB12" s="18">
        <f>IF(AB8=0,0,AB11/AB8)</f>
        <v/>
      </c>
      <c r="AC12" s="18">
        <f>IF(AC8=0,0,AC11/AC8)</f>
        <v/>
      </c>
      <c r="AD12" s="18">
        <f>IF(AD8=0,0,AD11/AD8)</f>
        <v/>
      </c>
    </row>
    <row r="13">
      <c r="B13" s="16" t="inlineStr">
        <is>
          <t>Постоянные opex</t>
        </is>
      </c>
      <c r="D13" s="17">
        <f>SUMPRODUCT(('Допущения'!$D$34:$D$42&lt;=D$3)*'Допущения'!$C$34:$C$42)</f>
        <v/>
      </c>
      <c r="E13" s="17">
        <f>SUMPRODUCT(('Допущения'!$D$34:$D$42&lt;=E$3)*'Допущения'!$C$34:$C$42)</f>
        <v/>
      </c>
      <c r="F13" s="17">
        <f>SUMPRODUCT(('Допущения'!$D$34:$D$42&lt;=F$3)*'Допущения'!$C$34:$C$42)</f>
        <v/>
      </c>
      <c r="G13" s="17">
        <f>SUMPRODUCT(('Допущения'!$D$34:$D$42&lt;=G$3)*'Допущения'!$C$34:$C$42)</f>
        <v/>
      </c>
      <c r="H13" s="17">
        <f>SUMPRODUCT(('Допущения'!$D$34:$D$42&lt;=H$3)*'Допущения'!$C$34:$C$42)</f>
        <v/>
      </c>
      <c r="I13" s="17">
        <f>SUMPRODUCT(('Допущения'!$D$34:$D$42&lt;=I$3)*'Допущения'!$C$34:$C$42)</f>
        <v/>
      </c>
      <c r="J13" s="17">
        <f>SUMPRODUCT(('Допущения'!$D$34:$D$42&lt;=J$3)*'Допущения'!$C$34:$C$42)</f>
        <v/>
      </c>
      <c r="K13" s="17">
        <f>SUMPRODUCT(('Допущения'!$D$34:$D$42&lt;=K$3)*'Допущения'!$C$34:$C$42)</f>
        <v/>
      </c>
      <c r="L13" s="17">
        <f>SUMPRODUCT(('Допущения'!$D$34:$D$42&lt;=L$3)*'Допущения'!$C$34:$C$42)</f>
        <v/>
      </c>
      <c r="M13" s="17">
        <f>SUMPRODUCT(('Допущения'!$D$34:$D$42&lt;=M$3)*'Допущения'!$C$34:$C$42)</f>
        <v/>
      </c>
      <c r="N13" s="17">
        <f>SUMPRODUCT(('Допущения'!$D$34:$D$42&lt;=N$3)*'Допущения'!$C$34:$C$42)</f>
        <v/>
      </c>
      <c r="O13" s="17">
        <f>SUMPRODUCT(('Допущения'!$D$34:$D$42&lt;=O$3)*'Допущения'!$C$34:$C$42)</f>
        <v/>
      </c>
      <c r="P13" s="17">
        <f>SUMPRODUCT(('Допущения'!$D$34:$D$42&lt;=P$3)*'Допущения'!$C$34:$C$42)</f>
        <v/>
      </c>
      <c r="Q13" s="17">
        <f>SUMPRODUCT(('Допущения'!$D$34:$D$42&lt;=Q$3)*'Допущения'!$C$34:$C$42)</f>
        <v/>
      </c>
      <c r="R13" s="17">
        <f>SUMPRODUCT(('Допущения'!$D$34:$D$42&lt;=R$3)*'Допущения'!$C$34:$C$42)</f>
        <v/>
      </c>
      <c r="S13" s="17">
        <f>SUMPRODUCT(('Допущения'!$D$34:$D$42&lt;=S$3)*'Допущения'!$C$34:$C$42)</f>
        <v/>
      </c>
      <c r="T13" s="17">
        <f>SUMPRODUCT(('Допущения'!$D$34:$D$42&lt;=T$3)*'Допущения'!$C$34:$C$42)</f>
        <v/>
      </c>
      <c r="U13" s="17">
        <f>SUMPRODUCT(('Допущения'!$D$34:$D$42&lt;=U$3)*'Допущения'!$C$34:$C$42)</f>
        <v/>
      </c>
      <c r="V13" s="17">
        <f>SUMPRODUCT(('Допущения'!$D$34:$D$42&lt;=V$3)*'Допущения'!$C$34:$C$42)</f>
        <v/>
      </c>
      <c r="W13" s="17">
        <f>SUMPRODUCT(('Допущения'!$D$34:$D$42&lt;=W$3)*'Допущения'!$C$34:$C$42)</f>
        <v/>
      </c>
      <c r="X13" s="17">
        <f>SUMPRODUCT(('Допущения'!$D$34:$D$42&lt;=X$3)*'Допущения'!$C$34:$C$42)</f>
        <v/>
      </c>
      <c r="Y13" s="17">
        <f>SUMPRODUCT(('Допущения'!$D$34:$D$42&lt;=Y$3)*'Допущения'!$C$34:$C$42)</f>
        <v/>
      </c>
      <c r="Z13" s="17">
        <f>SUMPRODUCT(('Допущения'!$D$34:$D$42&lt;=Z$3)*'Допущения'!$C$34:$C$42)</f>
        <v/>
      </c>
      <c r="AA13" s="17">
        <f>SUMPRODUCT(('Допущения'!$D$34:$D$42&lt;=AA$3)*'Допущения'!$C$34:$C$42)</f>
        <v/>
      </c>
      <c r="AB13" s="17">
        <f>SUM(D13:O13)</f>
        <v/>
      </c>
      <c r="AC13" s="17">
        <f>SUM(P13:AA13)</f>
        <v/>
      </c>
      <c r="AD13" s="17">
        <f>SUM(D13:AA13)</f>
        <v/>
      </c>
    </row>
    <row r="14">
      <c r="B14" s="16" t="inlineStr">
        <is>
          <t>Разовые расходы запуска</t>
        </is>
      </c>
      <c r="D14" s="17">
        <f>IF(D$3=1,SUM('Допущения'!$C$46:$C$50),0)</f>
        <v/>
      </c>
      <c r="E14" s="17">
        <f>IF(E$3=1,SUM('Допущения'!$C$46:$C$50),0)</f>
        <v/>
      </c>
      <c r="F14" s="17">
        <f>IF(F$3=1,SUM('Допущения'!$C$46:$C$50),0)</f>
        <v/>
      </c>
      <c r="G14" s="17">
        <f>IF(G$3=1,SUM('Допущения'!$C$46:$C$50),0)</f>
        <v/>
      </c>
      <c r="H14" s="17">
        <f>IF(H$3=1,SUM('Допущения'!$C$46:$C$50),0)</f>
        <v/>
      </c>
      <c r="I14" s="17">
        <f>IF(I$3=1,SUM('Допущения'!$C$46:$C$50),0)</f>
        <v/>
      </c>
      <c r="J14" s="17">
        <f>IF(J$3=1,SUM('Допущения'!$C$46:$C$50),0)</f>
        <v/>
      </c>
      <c r="K14" s="17">
        <f>IF(K$3=1,SUM('Допущения'!$C$46:$C$50),0)</f>
        <v/>
      </c>
      <c r="L14" s="17">
        <f>IF(L$3=1,SUM('Допущения'!$C$46:$C$50),0)</f>
        <v/>
      </c>
      <c r="M14" s="17">
        <f>IF(M$3=1,SUM('Допущения'!$C$46:$C$50),0)</f>
        <v/>
      </c>
      <c r="N14" s="17">
        <f>IF(N$3=1,SUM('Допущения'!$C$46:$C$50),0)</f>
        <v/>
      </c>
      <c r="O14" s="17">
        <f>IF(O$3=1,SUM('Допущения'!$C$46:$C$50),0)</f>
        <v/>
      </c>
      <c r="P14" s="17">
        <f>IF(P$3=1,SUM('Допущения'!$C$46:$C$50),0)</f>
        <v/>
      </c>
      <c r="Q14" s="17">
        <f>IF(Q$3=1,SUM('Допущения'!$C$46:$C$50),0)</f>
        <v/>
      </c>
      <c r="R14" s="17">
        <f>IF(R$3=1,SUM('Допущения'!$C$46:$C$50),0)</f>
        <v/>
      </c>
      <c r="S14" s="17">
        <f>IF(S$3=1,SUM('Допущения'!$C$46:$C$50),0)</f>
        <v/>
      </c>
      <c r="T14" s="17">
        <f>IF(T$3=1,SUM('Допущения'!$C$46:$C$50),0)</f>
        <v/>
      </c>
      <c r="U14" s="17">
        <f>IF(U$3=1,SUM('Допущения'!$C$46:$C$50),0)</f>
        <v/>
      </c>
      <c r="V14" s="17">
        <f>IF(V$3=1,SUM('Допущения'!$C$46:$C$50),0)</f>
        <v/>
      </c>
      <c r="W14" s="17">
        <f>IF(W$3=1,SUM('Допущения'!$C$46:$C$50),0)</f>
        <v/>
      </c>
      <c r="X14" s="17">
        <f>IF(X$3=1,SUM('Допущения'!$C$46:$C$50),0)</f>
        <v/>
      </c>
      <c r="Y14" s="17">
        <f>IF(Y$3=1,SUM('Допущения'!$C$46:$C$50),0)</f>
        <v/>
      </c>
      <c r="Z14" s="17">
        <f>IF(Z$3=1,SUM('Допущения'!$C$46:$C$50),0)</f>
        <v/>
      </c>
      <c r="AA14" s="17">
        <f>IF(AA$3=1,SUM('Допущения'!$C$46:$C$50),0)</f>
        <v/>
      </c>
      <c r="AB14" s="17">
        <f>SUM(D14:O14)</f>
        <v/>
      </c>
      <c r="AC14" s="17">
        <f>SUM(P14:AA14)</f>
        <v/>
      </c>
      <c r="AD14" s="17">
        <f>SUM(D14:AA14)</f>
        <v/>
      </c>
    </row>
    <row r="15">
      <c r="B15" s="8" t="inlineStr">
        <is>
          <t>EBITDA</t>
        </is>
      </c>
      <c r="D15" s="17">
        <f>D11-D13-D14</f>
        <v/>
      </c>
      <c r="E15" s="17">
        <f>E11-E13-E14</f>
        <v/>
      </c>
      <c r="F15" s="17">
        <f>F11-F13-F14</f>
        <v/>
      </c>
      <c r="G15" s="17">
        <f>G11-G13-G14</f>
        <v/>
      </c>
      <c r="H15" s="17">
        <f>H11-H13-H14</f>
        <v/>
      </c>
      <c r="I15" s="17">
        <f>I11-I13-I14</f>
        <v/>
      </c>
      <c r="J15" s="17">
        <f>J11-J13-J14</f>
        <v/>
      </c>
      <c r="K15" s="17">
        <f>K11-K13-K14</f>
        <v/>
      </c>
      <c r="L15" s="17">
        <f>L11-L13-L14</f>
        <v/>
      </c>
      <c r="M15" s="17">
        <f>M11-M13-M14</f>
        <v/>
      </c>
      <c r="N15" s="17">
        <f>N11-N13-N14</f>
        <v/>
      </c>
      <c r="O15" s="17">
        <f>O11-O13-O14</f>
        <v/>
      </c>
      <c r="P15" s="17">
        <f>P11-P13-P14</f>
        <v/>
      </c>
      <c r="Q15" s="17">
        <f>Q11-Q13-Q14</f>
        <v/>
      </c>
      <c r="R15" s="17">
        <f>R11-R13-R14</f>
        <v/>
      </c>
      <c r="S15" s="17">
        <f>S11-S13-S14</f>
        <v/>
      </c>
      <c r="T15" s="17">
        <f>T11-T13-T14</f>
        <v/>
      </c>
      <c r="U15" s="17">
        <f>U11-U13-U14</f>
        <v/>
      </c>
      <c r="V15" s="17">
        <f>V11-V13-V14</f>
        <v/>
      </c>
      <c r="W15" s="17">
        <f>W11-W13-W14</f>
        <v/>
      </c>
      <c r="X15" s="17">
        <f>X11-X13-X14</f>
        <v/>
      </c>
      <c r="Y15" s="17">
        <f>Y11-Y13-Y14</f>
        <v/>
      </c>
      <c r="Z15" s="17">
        <f>Z11-Z13-Z14</f>
        <v/>
      </c>
      <c r="AA15" s="17">
        <f>AA11-AA13-AA14</f>
        <v/>
      </c>
      <c r="AB15" s="17">
        <f>SUM(D15:O15)</f>
        <v/>
      </c>
      <c r="AC15" s="17">
        <f>SUM(P15:AA15)</f>
        <v/>
      </c>
      <c r="AD15" s="17">
        <f>SUM(D15:AA15)</f>
        <v/>
      </c>
    </row>
    <row r="16">
      <c r="B16" s="16" t="inlineStr">
        <is>
          <t>Налог (упрощённо)</t>
        </is>
      </c>
      <c r="D16" s="17">
        <f>MAX(0,D15)*'Допущения'!$C$8</f>
        <v/>
      </c>
      <c r="E16" s="17">
        <f>MAX(0,E15)*'Допущения'!$C$8</f>
        <v/>
      </c>
      <c r="F16" s="17">
        <f>MAX(0,F15)*'Допущения'!$C$8</f>
        <v/>
      </c>
      <c r="G16" s="17">
        <f>MAX(0,G15)*'Допущения'!$C$8</f>
        <v/>
      </c>
      <c r="H16" s="17">
        <f>MAX(0,H15)*'Допущения'!$C$8</f>
        <v/>
      </c>
      <c r="I16" s="17">
        <f>MAX(0,I15)*'Допущения'!$C$8</f>
        <v/>
      </c>
      <c r="J16" s="17">
        <f>MAX(0,J15)*'Допущения'!$C$8</f>
        <v/>
      </c>
      <c r="K16" s="17">
        <f>MAX(0,K15)*'Допущения'!$C$8</f>
        <v/>
      </c>
      <c r="L16" s="17">
        <f>MAX(0,L15)*'Допущения'!$C$8</f>
        <v/>
      </c>
      <c r="M16" s="17">
        <f>MAX(0,M15)*'Допущения'!$C$8</f>
        <v/>
      </c>
      <c r="N16" s="17">
        <f>MAX(0,N15)*'Допущения'!$C$8</f>
        <v/>
      </c>
      <c r="O16" s="17">
        <f>MAX(0,O15)*'Допущения'!$C$8</f>
        <v/>
      </c>
      <c r="P16" s="17">
        <f>MAX(0,P15)*'Допущения'!$C$8</f>
        <v/>
      </c>
      <c r="Q16" s="17">
        <f>MAX(0,Q15)*'Допущения'!$C$8</f>
        <v/>
      </c>
      <c r="R16" s="17">
        <f>MAX(0,R15)*'Допущения'!$C$8</f>
        <v/>
      </c>
      <c r="S16" s="17">
        <f>MAX(0,S15)*'Допущения'!$C$8</f>
        <v/>
      </c>
      <c r="T16" s="17">
        <f>MAX(0,T15)*'Допущения'!$C$8</f>
        <v/>
      </c>
      <c r="U16" s="17">
        <f>MAX(0,U15)*'Допущения'!$C$8</f>
        <v/>
      </c>
      <c r="V16" s="17">
        <f>MAX(0,V15)*'Допущения'!$C$8</f>
        <v/>
      </c>
      <c r="W16" s="17">
        <f>MAX(0,W15)*'Допущения'!$C$8</f>
        <v/>
      </c>
      <c r="X16" s="17">
        <f>MAX(0,X15)*'Допущения'!$C$8</f>
        <v/>
      </c>
      <c r="Y16" s="17">
        <f>MAX(0,Y15)*'Допущения'!$C$8</f>
        <v/>
      </c>
      <c r="Z16" s="17">
        <f>MAX(0,Z15)*'Допущения'!$C$8</f>
        <v/>
      </c>
      <c r="AA16" s="17">
        <f>MAX(0,AA15)*'Допущения'!$C$8</f>
        <v/>
      </c>
      <c r="AB16" s="17">
        <f>SUM(D16:O16)</f>
        <v/>
      </c>
      <c r="AC16" s="17">
        <f>SUM(P16:AA16)</f>
        <v/>
      </c>
      <c r="AD16" s="17">
        <f>SUM(D16:AA16)</f>
        <v/>
      </c>
    </row>
    <row r="17">
      <c r="B17" s="8" t="inlineStr">
        <is>
          <t>Чистый результат</t>
        </is>
      </c>
      <c r="D17" s="17">
        <f>D15-D16</f>
        <v/>
      </c>
      <c r="E17" s="17">
        <f>E15-E16</f>
        <v/>
      </c>
      <c r="F17" s="17">
        <f>F15-F16</f>
        <v/>
      </c>
      <c r="G17" s="17">
        <f>G15-G16</f>
        <v/>
      </c>
      <c r="H17" s="17">
        <f>H15-H16</f>
        <v/>
      </c>
      <c r="I17" s="17">
        <f>I15-I16</f>
        <v/>
      </c>
      <c r="J17" s="17">
        <f>J15-J16</f>
        <v/>
      </c>
      <c r="K17" s="17">
        <f>K15-K16</f>
        <v/>
      </c>
      <c r="L17" s="17">
        <f>L15-L16</f>
        <v/>
      </c>
      <c r="M17" s="17">
        <f>M15-M16</f>
        <v/>
      </c>
      <c r="N17" s="17">
        <f>N15-N16</f>
        <v/>
      </c>
      <c r="O17" s="17">
        <f>O15-O16</f>
        <v/>
      </c>
      <c r="P17" s="17">
        <f>P15-P16</f>
        <v/>
      </c>
      <c r="Q17" s="17">
        <f>Q15-Q16</f>
        <v/>
      </c>
      <c r="R17" s="17">
        <f>R15-R16</f>
        <v/>
      </c>
      <c r="S17" s="17">
        <f>S15-S16</f>
        <v/>
      </c>
      <c r="T17" s="17">
        <f>T15-T16</f>
        <v/>
      </c>
      <c r="U17" s="17">
        <f>U15-U16</f>
        <v/>
      </c>
      <c r="V17" s="17">
        <f>V15-V16</f>
        <v/>
      </c>
      <c r="W17" s="17">
        <f>W15-W16</f>
        <v/>
      </c>
      <c r="X17" s="17">
        <f>X15-X16</f>
        <v/>
      </c>
      <c r="Y17" s="17">
        <f>Y15-Y16</f>
        <v/>
      </c>
      <c r="Z17" s="17">
        <f>Z15-Z16</f>
        <v/>
      </c>
      <c r="AA17" s="17">
        <f>AA15-AA16</f>
        <v/>
      </c>
      <c r="AB17" s="17">
        <f>SUM(D17:O17)</f>
        <v/>
      </c>
      <c r="AC17" s="17">
        <f>SUM(P17:AA17)</f>
        <v/>
      </c>
      <c r="AD17" s="17">
        <f>SUM(D17:AA17)</f>
        <v/>
      </c>
    </row>
    <row r="18">
      <c r="B18" s="16" t="inlineStr">
        <is>
          <t>Накопленный результат</t>
        </is>
      </c>
      <c r="D18" s="17">
        <f>D17</f>
        <v/>
      </c>
      <c r="E18" s="17">
        <f>D18+E17</f>
        <v/>
      </c>
      <c r="F18" s="17">
        <f>E18+F17</f>
        <v/>
      </c>
      <c r="G18" s="17">
        <f>F18+G17</f>
        <v/>
      </c>
      <c r="H18" s="17">
        <f>G18+H17</f>
        <v/>
      </c>
      <c r="I18" s="17">
        <f>H18+I17</f>
        <v/>
      </c>
      <c r="J18" s="17">
        <f>I18+J17</f>
        <v/>
      </c>
      <c r="K18" s="17">
        <f>J18+K17</f>
        <v/>
      </c>
      <c r="L18" s="17">
        <f>K18+L17</f>
        <v/>
      </c>
      <c r="M18" s="17">
        <f>L18+M17</f>
        <v/>
      </c>
      <c r="N18" s="17">
        <f>M18+N17</f>
        <v/>
      </c>
      <c r="O18" s="17">
        <f>N18+O17</f>
        <v/>
      </c>
      <c r="P18" s="17">
        <f>O18+P17</f>
        <v/>
      </c>
      <c r="Q18" s="17">
        <f>P18+Q17</f>
        <v/>
      </c>
      <c r="R18" s="17">
        <f>Q18+R17</f>
        <v/>
      </c>
      <c r="S18" s="17">
        <f>R18+S17</f>
        <v/>
      </c>
      <c r="T18" s="17">
        <f>S18+T17</f>
        <v/>
      </c>
      <c r="U18" s="17">
        <f>T18+U17</f>
        <v/>
      </c>
      <c r="V18" s="17">
        <f>U18+V17</f>
        <v/>
      </c>
      <c r="W18" s="17">
        <f>V18+W17</f>
        <v/>
      </c>
      <c r="X18" s="17">
        <f>W18+X17</f>
        <v/>
      </c>
      <c r="Y18" s="17">
        <f>X18+Y17</f>
        <v/>
      </c>
      <c r="Z18" s="17">
        <f>Y18+Z17</f>
        <v/>
      </c>
      <c r="AA18" s="17">
        <f>Z18+AA17</f>
        <v/>
      </c>
    </row>
    <row r="19">
      <c r="B19" s="16" t="inlineStr">
        <is>
          <t>Вспом.: месяц, если EBITDA&gt;0</t>
        </is>
      </c>
      <c r="D19" s="17">
        <f>IF(D15&gt;0,D$3,99)</f>
        <v/>
      </c>
      <c r="E19" s="17">
        <f>IF(E15&gt;0,E$3,99)</f>
        <v/>
      </c>
      <c r="F19" s="17">
        <f>IF(F15&gt;0,F$3,99)</f>
        <v/>
      </c>
      <c r="G19" s="17">
        <f>IF(G15&gt;0,G$3,99)</f>
        <v/>
      </c>
      <c r="H19" s="17">
        <f>IF(H15&gt;0,H$3,99)</f>
        <v/>
      </c>
      <c r="I19" s="17">
        <f>IF(I15&gt;0,I$3,99)</f>
        <v/>
      </c>
      <c r="J19" s="17">
        <f>IF(J15&gt;0,J$3,99)</f>
        <v/>
      </c>
      <c r="K19" s="17">
        <f>IF(K15&gt;0,K$3,99)</f>
        <v/>
      </c>
      <c r="L19" s="17">
        <f>IF(L15&gt;0,L$3,99)</f>
        <v/>
      </c>
      <c r="M19" s="17">
        <f>IF(M15&gt;0,M$3,99)</f>
        <v/>
      </c>
      <c r="N19" s="17">
        <f>IF(N15&gt;0,N$3,99)</f>
        <v/>
      </c>
      <c r="O19" s="17">
        <f>IF(O15&gt;0,O$3,99)</f>
        <v/>
      </c>
      <c r="P19" s="17">
        <f>IF(P15&gt;0,P$3,99)</f>
        <v/>
      </c>
      <c r="Q19" s="17">
        <f>IF(Q15&gt;0,Q$3,99)</f>
        <v/>
      </c>
      <c r="R19" s="17">
        <f>IF(R15&gt;0,R$3,99)</f>
        <v/>
      </c>
      <c r="S19" s="17">
        <f>IF(S15&gt;0,S$3,99)</f>
        <v/>
      </c>
      <c r="T19" s="17">
        <f>IF(T15&gt;0,T$3,99)</f>
        <v/>
      </c>
      <c r="U19" s="17">
        <f>IF(U15&gt;0,U$3,99)</f>
        <v/>
      </c>
      <c r="V19" s="17">
        <f>IF(V15&gt;0,V$3,99)</f>
        <v/>
      </c>
      <c r="W19" s="17">
        <f>IF(W15&gt;0,W$3,99)</f>
        <v/>
      </c>
      <c r="X19" s="17">
        <f>IF(X15&gt;0,X$3,99)</f>
        <v/>
      </c>
      <c r="Y19" s="17">
        <f>IF(Y15&gt;0,Y$3,99)</f>
        <v/>
      </c>
      <c r="Z19" s="17">
        <f>IF(Z15&gt;0,Z$3,99)</f>
        <v/>
      </c>
      <c r="AA19" s="17">
        <f>IF(AA15&gt;0,AA$3,99)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A1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2" max="2"/>
  </cols>
  <sheetData>
    <row r="1">
      <c r="B1" s="8" t="inlineStr">
        <is>
          <t>Модель запуска в Лигурии: hardware + agent-сервисы для отелей (EUR, без НДС)</t>
        </is>
      </c>
    </row>
    <row r="3">
      <c r="B3" s="3" t="inlineStr">
        <is>
          <t>Месяц</t>
        </is>
      </c>
      <c r="C3" s="3" t="n"/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</row>
    <row r="5">
      <c r="B5" s="16" t="inlineStr">
        <is>
          <t>Поступления</t>
        </is>
      </c>
      <c r="D5" s="17">
        <f>'Допущения'!$C$9*'PnL'!D8</f>
        <v/>
      </c>
      <c r="E5" s="17">
        <f>'Допущения'!$C$9*'PnL'!E8+(1-'Допущения'!$C$9)*'PnL'!D8</f>
        <v/>
      </c>
      <c r="F5" s="17">
        <f>'Допущения'!$C$9*'PnL'!F8+(1-'Допущения'!$C$9)*'PnL'!E8</f>
        <v/>
      </c>
      <c r="G5" s="17">
        <f>'Допущения'!$C$9*'PnL'!G8+(1-'Допущения'!$C$9)*'PnL'!F8</f>
        <v/>
      </c>
      <c r="H5" s="17">
        <f>'Допущения'!$C$9*'PnL'!H8+(1-'Допущения'!$C$9)*'PnL'!G8</f>
        <v/>
      </c>
      <c r="I5" s="17">
        <f>'Допущения'!$C$9*'PnL'!I8+(1-'Допущения'!$C$9)*'PnL'!H8</f>
        <v/>
      </c>
      <c r="J5" s="17">
        <f>'Допущения'!$C$9*'PnL'!J8+(1-'Допущения'!$C$9)*'PnL'!I8</f>
        <v/>
      </c>
      <c r="K5" s="17">
        <f>'Допущения'!$C$9*'PnL'!K8+(1-'Допущения'!$C$9)*'PnL'!J8</f>
        <v/>
      </c>
      <c r="L5" s="17">
        <f>'Допущения'!$C$9*'PnL'!L8+(1-'Допущения'!$C$9)*'PnL'!K8</f>
        <v/>
      </c>
      <c r="M5" s="17">
        <f>'Допущения'!$C$9*'PnL'!M8+(1-'Допущения'!$C$9)*'PnL'!L8</f>
        <v/>
      </c>
      <c r="N5" s="17">
        <f>'Допущения'!$C$9*'PnL'!N8+(1-'Допущения'!$C$9)*'PnL'!M8</f>
        <v/>
      </c>
      <c r="O5" s="17">
        <f>'Допущения'!$C$9*'PnL'!O8+(1-'Допущения'!$C$9)*'PnL'!N8</f>
        <v/>
      </c>
      <c r="P5" s="17">
        <f>'Допущения'!$C$9*'PnL'!P8+(1-'Допущения'!$C$9)*'PnL'!O8</f>
        <v/>
      </c>
      <c r="Q5" s="17">
        <f>'Допущения'!$C$9*'PnL'!Q8+(1-'Допущения'!$C$9)*'PnL'!P8</f>
        <v/>
      </c>
      <c r="R5" s="17">
        <f>'Допущения'!$C$9*'PnL'!R8+(1-'Допущения'!$C$9)*'PnL'!Q8</f>
        <v/>
      </c>
      <c r="S5" s="17">
        <f>'Допущения'!$C$9*'PnL'!S8+(1-'Допущения'!$C$9)*'PnL'!R8</f>
        <v/>
      </c>
      <c r="T5" s="17">
        <f>'Допущения'!$C$9*'PnL'!T8+(1-'Допущения'!$C$9)*'PnL'!S8</f>
        <v/>
      </c>
      <c r="U5" s="17">
        <f>'Допущения'!$C$9*'PnL'!U8+(1-'Допущения'!$C$9)*'PnL'!T8</f>
        <v/>
      </c>
      <c r="V5" s="17">
        <f>'Допущения'!$C$9*'PnL'!V8+(1-'Допущения'!$C$9)*'PnL'!U8</f>
        <v/>
      </c>
      <c r="W5" s="17">
        <f>'Допущения'!$C$9*'PnL'!W8+(1-'Допущения'!$C$9)*'PnL'!V8</f>
        <v/>
      </c>
      <c r="X5" s="17">
        <f>'Допущения'!$C$9*'PnL'!X8+(1-'Допущения'!$C$9)*'PnL'!W8</f>
        <v/>
      </c>
      <c r="Y5" s="17">
        <f>'Допущения'!$C$9*'PnL'!Y8+(1-'Допущения'!$C$9)*'PnL'!X8</f>
        <v/>
      </c>
      <c r="Z5" s="17">
        <f>'Допущения'!$C$9*'PnL'!Z8+(1-'Допущения'!$C$9)*'PnL'!Y8</f>
        <v/>
      </c>
      <c r="AA5" s="17">
        <f>'Допущения'!$C$9*'PnL'!AA8+(1-'Допущения'!$C$9)*'PnL'!Z8</f>
        <v/>
      </c>
    </row>
    <row r="6">
      <c r="B6" s="16" t="inlineStr">
        <is>
          <t>Закупки hardware (оплата за 2 мес. вперёд)</t>
        </is>
      </c>
      <c r="D6" s="17">
        <f>'PnL'!D9+'PnL'!E9+'PnL'!F9</f>
        <v/>
      </c>
      <c r="E6" s="17">
        <f>'PnL'!G9</f>
        <v/>
      </c>
      <c r="F6" s="17">
        <f>'PnL'!H9</f>
        <v/>
      </c>
      <c r="G6" s="17">
        <f>'PnL'!I9</f>
        <v/>
      </c>
      <c r="H6" s="17">
        <f>'PnL'!J9</f>
        <v/>
      </c>
      <c r="I6" s="17">
        <f>'PnL'!K9</f>
        <v/>
      </c>
      <c r="J6" s="17">
        <f>'PnL'!L9</f>
        <v/>
      </c>
      <c r="K6" s="17">
        <f>'PnL'!M9</f>
        <v/>
      </c>
      <c r="L6" s="17">
        <f>'PnL'!N9</f>
        <v/>
      </c>
      <c r="M6" s="17">
        <f>'PnL'!O9</f>
        <v/>
      </c>
      <c r="N6" s="17">
        <f>'PnL'!P9</f>
        <v/>
      </c>
      <c r="O6" s="17">
        <f>'PnL'!Q9</f>
        <v/>
      </c>
      <c r="P6" s="17">
        <f>'PnL'!R9</f>
        <v/>
      </c>
      <c r="Q6" s="17">
        <f>'PnL'!S9</f>
        <v/>
      </c>
      <c r="R6" s="17">
        <f>'PnL'!T9</f>
        <v/>
      </c>
      <c r="S6" s="17">
        <f>'PnL'!U9</f>
        <v/>
      </c>
      <c r="T6" s="17">
        <f>'PnL'!V9</f>
        <v/>
      </c>
      <c r="U6" s="17">
        <f>'PnL'!W9</f>
        <v/>
      </c>
      <c r="V6" s="17">
        <f>'PnL'!X9</f>
        <v/>
      </c>
      <c r="W6" s="17">
        <f>'PnL'!Y9</f>
        <v/>
      </c>
      <c r="X6" s="17">
        <f>'PnL'!Z9</f>
        <v/>
      </c>
      <c r="Y6" s="17">
        <f>'PnL'!AA9</f>
        <v/>
      </c>
      <c r="Z6" s="17" t="n">
        <v>0</v>
      </c>
      <c r="AA6" s="17" t="n">
        <v>0</v>
      </c>
    </row>
    <row r="7">
      <c r="B7" s="16" t="inlineStr">
        <is>
          <t>Переменные затраты</t>
        </is>
      </c>
      <c r="D7" s="17">
        <f>'PnL'!D10</f>
        <v/>
      </c>
      <c r="E7" s="17">
        <f>'PnL'!E10</f>
        <v/>
      </c>
      <c r="F7" s="17">
        <f>'PnL'!F10</f>
        <v/>
      </c>
      <c r="G7" s="17">
        <f>'PnL'!G10</f>
        <v/>
      </c>
      <c r="H7" s="17">
        <f>'PnL'!H10</f>
        <v/>
      </c>
      <c r="I7" s="17">
        <f>'PnL'!I10</f>
        <v/>
      </c>
      <c r="J7" s="17">
        <f>'PnL'!J10</f>
        <v/>
      </c>
      <c r="K7" s="17">
        <f>'PnL'!K10</f>
        <v/>
      </c>
      <c r="L7" s="17">
        <f>'PnL'!L10</f>
        <v/>
      </c>
      <c r="M7" s="17">
        <f>'PnL'!M10</f>
        <v/>
      </c>
      <c r="N7" s="17">
        <f>'PnL'!N10</f>
        <v/>
      </c>
      <c r="O7" s="17">
        <f>'PnL'!O10</f>
        <v/>
      </c>
      <c r="P7" s="17">
        <f>'PnL'!P10</f>
        <v/>
      </c>
      <c r="Q7" s="17">
        <f>'PnL'!Q10</f>
        <v/>
      </c>
      <c r="R7" s="17">
        <f>'PnL'!R10</f>
        <v/>
      </c>
      <c r="S7" s="17">
        <f>'PnL'!S10</f>
        <v/>
      </c>
      <c r="T7" s="17">
        <f>'PnL'!T10</f>
        <v/>
      </c>
      <c r="U7" s="17">
        <f>'PnL'!U10</f>
        <v/>
      </c>
      <c r="V7" s="17">
        <f>'PnL'!V10</f>
        <v/>
      </c>
      <c r="W7" s="17">
        <f>'PnL'!W10</f>
        <v/>
      </c>
      <c r="X7" s="17">
        <f>'PnL'!X10</f>
        <v/>
      </c>
      <c r="Y7" s="17">
        <f>'PnL'!Y10</f>
        <v/>
      </c>
      <c r="Z7" s="17">
        <f>'PnL'!Z10</f>
        <v/>
      </c>
      <c r="AA7" s="17">
        <f>'PnL'!AA10</f>
        <v/>
      </c>
    </row>
    <row r="8">
      <c r="B8" s="16" t="inlineStr">
        <is>
          <t>Постоянные opex</t>
        </is>
      </c>
      <c r="D8" s="17">
        <f>'PnL'!D13</f>
        <v/>
      </c>
      <c r="E8" s="17">
        <f>'PnL'!E13</f>
        <v/>
      </c>
      <c r="F8" s="17">
        <f>'PnL'!F13</f>
        <v/>
      </c>
      <c r="G8" s="17">
        <f>'PnL'!G13</f>
        <v/>
      </c>
      <c r="H8" s="17">
        <f>'PnL'!H13</f>
        <v/>
      </c>
      <c r="I8" s="17">
        <f>'PnL'!I13</f>
        <v/>
      </c>
      <c r="J8" s="17">
        <f>'PnL'!J13</f>
        <v/>
      </c>
      <c r="K8" s="17">
        <f>'PnL'!K13</f>
        <v/>
      </c>
      <c r="L8" s="17">
        <f>'PnL'!L13</f>
        <v/>
      </c>
      <c r="M8" s="17">
        <f>'PnL'!M13</f>
        <v/>
      </c>
      <c r="N8" s="17">
        <f>'PnL'!N13</f>
        <v/>
      </c>
      <c r="O8" s="17">
        <f>'PnL'!O13</f>
        <v/>
      </c>
      <c r="P8" s="17">
        <f>'PnL'!P13</f>
        <v/>
      </c>
      <c r="Q8" s="17">
        <f>'PnL'!Q13</f>
        <v/>
      </c>
      <c r="R8" s="17">
        <f>'PnL'!R13</f>
        <v/>
      </c>
      <c r="S8" s="17">
        <f>'PnL'!S13</f>
        <v/>
      </c>
      <c r="T8" s="17">
        <f>'PnL'!T13</f>
        <v/>
      </c>
      <c r="U8" s="17">
        <f>'PnL'!U13</f>
        <v/>
      </c>
      <c r="V8" s="17">
        <f>'PnL'!V13</f>
        <v/>
      </c>
      <c r="W8" s="17">
        <f>'PnL'!W13</f>
        <v/>
      </c>
      <c r="X8" s="17">
        <f>'PnL'!X13</f>
        <v/>
      </c>
      <c r="Y8" s="17">
        <f>'PnL'!Y13</f>
        <v/>
      </c>
      <c r="Z8" s="17">
        <f>'PnL'!Z13</f>
        <v/>
      </c>
      <c r="AA8" s="17">
        <f>'PnL'!AA13</f>
        <v/>
      </c>
    </row>
    <row r="9">
      <c r="B9" s="16" t="inlineStr">
        <is>
          <t>Разовые расходы</t>
        </is>
      </c>
      <c r="D9" s="17">
        <f>'PnL'!D14</f>
        <v/>
      </c>
      <c r="E9" s="17">
        <f>'PnL'!E14</f>
        <v/>
      </c>
      <c r="F9" s="17">
        <f>'PnL'!F14</f>
        <v/>
      </c>
      <c r="G9" s="17">
        <f>'PnL'!G14</f>
        <v/>
      </c>
      <c r="H9" s="17">
        <f>'PnL'!H14</f>
        <v/>
      </c>
      <c r="I9" s="17">
        <f>'PnL'!I14</f>
        <v/>
      </c>
      <c r="J9" s="17">
        <f>'PnL'!J14</f>
        <v/>
      </c>
      <c r="K9" s="17">
        <f>'PnL'!K14</f>
        <v/>
      </c>
      <c r="L9" s="17">
        <f>'PnL'!L14</f>
        <v/>
      </c>
      <c r="M9" s="17">
        <f>'PnL'!M14</f>
        <v/>
      </c>
      <c r="N9" s="17">
        <f>'PnL'!N14</f>
        <v/>
      </c>
      <c r="O9" s="17">
        <f>'PnL'!O14</f>
        <v/>
      </c>
      <c r="P9" s="17">
        <f>'PnL'!P14</f>
        <v/>
      </c>
      <c r="Q9" s="17">
        <f>'PnL'!Q14</f>
        <v/>
      </c>
      <c r="R9" s="17">
        <f>'PnL'!R14</f>
        <v/>
      </c>
      <c r="S9" s="17">
        <f>'PnL'!S14</f>
        <v/>
      </c>
      <c r="T9" s="17">
        <f>'PnL'!T14</f>
        <v/>
      </c>
      <c r="U9" s="17">
        <f>'PnL'!U14</f>
        <v/>
      </c>
      <c r="V9" s="17">
        <f>'PnL'!V14</f>
        <v/>
      </c>
      <c r="W9" s="17">
        <f>'PnL'!W14</f>
        <v/>
      </c>
      <c r="X9" s="17">
        <f>'PnL'!X14</f>
        <v/>
      </c>
      <c r="Y9" s="17">
        <f>'PnL'!Y14</f>
        <v/>
      </c>
      <c r="Z9" s="17">
        <f>'PnL'!Z14</f>
        <v/>
      </c>
      <c r="AA9" s="17">
        <f>'PnL'!AA14</f>
        <v/>
      </c>
    </row>
    <row r="10">
      <c r="B10" s="16" t="inlineStr">
        <is>
          <t>Налоги</t>
        </is>
      </c>
      <c r="D10" s="17">
        <f>'PnL'!D16</f>
        <v/>
      </c>
      <c r="E10" s="17">
        <f>'PnL'!E16</f>
        <v/>
      </c>
      <c r="F10" s="17">
        <f>'PnL'!F16</f>
        <v/>
      </c>
      <c r="G10" s="17">
        <f>'PnL'!G16</f>
        <v/>
      </c>
      <c r="H10" s="17">
        <f>'PnL'!H16</f>
        <v/>
      </c>
      <c r="I10" s="17">
        <f>'PnL'!I16</f>
        <v/>
      </c>
      <c r="J10" s="17">
        <f>'PnL'!J16</f>
        <v/>
      </c>
      <c r="K10" s="17">
        <f>'PnL'!K16</f>
        <v/>
      </c>
      <c r="L10" s="17">
        <f>'PnL'!L16</f>
        <v/>
      </c>
      <c r="M10" s="17">
        <f>'PnL'!M16</f>
        <v/>
      </c>
      <c r="N10" s="17">
        <f>'PnL'!N16</f>
        <v/>
      </c>
      <c r="O10" s="17">
        <f>'PnL'!O16</f>
        <v/>
      </c>
      <c r="P10" s="17">
        <f>'PnL'!P16</f>
        <v/>
      </c>
      <c r="Q10" s="17">
        <f>'PnL'!Q16</f>
        <v/>
      </c>
      <c r="R10" s="17">
        <f>'PnL'!R16</f>
        <v/>
      </c>
      <c r="S10" s="17">
        <f>'PnL'!S16</f>
        <v/>
      </c>
      <c r="T10" s="17">
        <f>'PnL'!T16</f>
        <v/>
      </c>
      <c r="U10" s="17">
        <f>'PnL'!U16</f>
        <v/>
      </c>
      <c r="V10" s="17">
        <f>'PnL'!V16</f>
        <v/>
      </c>
      <c r="W10" s="17">
        <f>'PnL'!W16</f>
        <v/>
      </c>
      <c r="X10" s="17">
        <f>'PnL'!X16</f>
        <v/>
      </c>
      <c r="Y10" s="17">
        <f>'PnL'!Y16</f>
        <v/>
      </c>
      <c r="Z10" s="17">
        <f>'PnL'!Z16</f>
        <v/>
      </c>
      <c r="AA10" s="17">
        <f>'PnL'!AA16</f>
        <v/>
      </c>
    </row>
    <row r="11">
      <c r="B11" s="8" t="inlineStr">
        <is>
          <t>Чистый денежный поток</t>
        </is>
      </c>
      <c r="D11" s="17">
        <f>D5-D6-D7-D8-D9-D10</f>
        <v/>
      </c>
      <c r="E11" s="17">
        <f>E5-E6-E7-E8-E9-E10</f>
        <v/>
      </c>
      <c r="F11" s="17">
        <f>F5-F6-F7-F8-F9-F10</f>
        <v/>
      </c>
      <c r="G11" s="17">
        <f>G5-G6-G7-G8-G9-G10</f>
        <v/>
      </c>
      <c r="H11" s="17">
        <f>H5-H6-H7-H8-H9-H10</f>
        <v/>
      </c>
      <c r="I11" s="17">
        <f>I5-I6-I7-I8-I9-I10</f>
        <v/>
      </c>
      <c r="J11" s="17">
        <f>J5-J6-J7-J8-J9-J10</f>
        <v/>
      </c>
      <c r="K11" s="17">
        <f>K5-K6-K7-K8-K9-K10</f>
        <v/>
      </c>
      <c r="L11" s="17">
        <f>L5-L6-L7-L8-L9-L10</f>
        <v/>
      </c>
      <c r="M11" s="17">
        <f>M5-M6-M7-M8-M9-M10</f>
        <v/>
      </c>
      <c r="N11" s="17">
        <f>N5-N6-N7-N8-N9-N10</f>
        <v/>
      </c>
      <c r="O11" s="17">
        <f>O5-O6-O7-O8-O9-O10</f>
        <v/>
      </c>
      <c r="P11" s="17">
        <f>P5-P6-P7-P8-P9-P10</f>
        <v/>
      </c>
      <c r="Q11" s="17">
        <f>Q5-Q6-Q7-Q8-Q9-Q10</f>
        <v/>
      </c>
      <c r="R11" s="17">
        <f>R5-R6-R7-R8-R9-R10</f>
        <v/>
      </c>
      <c r="S11" s="17">
        <f>S5-S6-S7-S8-S9-S10</f>
        <v/>
      </c>
      <c r="T11" s="17">
        <f>T5-T6-T7-T8-T9-T10</f>
        <v/>
      </c>
      <c r="U11" s="17">
        <f>U5-U6-U7-U8-U9-U10</f>
        <v/>
      </c>
      <c r="V11" s="17">
        <f>V5-V6-V7-V8-V9-V10</f>
        <v/>
      </c>
      <c r="W11" s="17">
        <f>W5-W6-W7-W8-W9-W10</f>
        <v/>
      </c>
      <c r="X11" s="17">
        <f>X5-X6-X7-X8-X9-X10</f>
        <v/>
      </c>
      <c r="Y11" s="17">
        <f>Y5-Y6-Y7-Y8-Y9-Y10</f>
        <v/>
      </c>
      <c r="Z11" s="17">
        <f>Z5-Z6-Z7-Z8-Z9-Z10</f>
        <v/>
      </c>
      <c r="AA11" s="17">
        <f>AA5-AA6-AA7-AA8-AA9-AA10</f>
        <v/>
      </c>
    </row>
    <row r="12">
      <c r="B12" s="16" t="inlineStr">
        <is>
          <t>Остаток на начало</t>
        </is>
      </c>
      <c r="D12" s="17">
        <f>'Допущения'!$C$7</f>
        <v/>
      </c>
      <c r="E12" s="17">
        <f>D13</f>
        <v/>
      </c>
      <c r="F12" s="17">
        <f>E13</f>
        <v/>
      </c>
      <c r="G12" s="17">
        <f>F13</f>
        <v/>
      </c>
      <c r="H12" s="17">
        <f>G13</f>
        <v/>
      </c>
      <c r="I12" s="17">
        <f>H13</f>
        <v/>
      </c>
      <c r="J12" s="17">
        <f>I13</f>
        <v/>
      </c>
      <c r="K12" s="17">
        <f>J13</f>
        <v/>
      </c>
      <c r="L12" s="17">
        <f>K13</f>
        <v/>
      </c>
      <c r="M12" s="17">
        <f>L13</f>
        <v/>
      </c>
      <c r="N12" s="17">
        <f>M13</f>
        <v/>
      </c>
      <c r="O12" s="17">
        <f>N13</f>
        <v/>
      </c>
      <c r="P12" s="17">
        <f>O13</f>
        <v/>
      </c>
      <c r="Q12" s="17">
        <f>P13</f>
        <v/>
      </c>
      <c r="R12" s="17">
        <f>Q13</f>
        <v/>
      </c>
      <c r="S12" s="17">
        <f>R13</f>
        <v/>
      </c>
      <c r="T12" s="17">
        <f>S13</f>
        <v/>
      </c>
      <c r="U12" s="17">
        <f>T13</f>
        <v/>
      </c>
      <c r="V12" s="17">
        <f>U13</f>
        <v/>
      </c>
      <c r="W12" s="17">
        <f>V13</f>
        <v/>
      </c>
      <c r="X12" s="17">
        <f>W13</f>
        <v/>
      </c>
      <c r="Y12" s="17">
        <f>X13</f>
        <v/>
      </c>
      <c r="Z12" s="17">
        <f>Y13</f>
        <v/>
      </c>
      <c r="AA12" s="17">
        <f>Z13</f>
        <v/>
      </c>
    </row>
    <row r="13">
      <c r="B13" s="8" t="inlineStr">
        <is>
          <t>Остаток на конец</t>
        </is>
      </c>
      <c r="D13" s="17">
        <f>D12+D11</f>
        <v/>
      </c>
      <c r="E13" s="17">
        <f>E12+E11</f>
        <v/>
      </c>
      <c r="F13" s="17">
        <f>F12+F11</f>
        <v/>
      </c>
      <c r="G13" s="17">
        <f>G12+G11</f>
        <v/>
      </c>
      <c r="H13" s="17">
        <f>H12+H11</f>
        <v/>
      </c>
      <c r="I13" s="17">
        <f>I12+I11</f>
        <v/>
      </c>
      <c r="J13" s="17">
        <f>J12+J11</f>
        <v/>
      </c>
      <c r="K13" s="17">
        <f>K12+K11</f>
        <v/>
      </c>
      <c r="L13" s="17">
        <f>L12+L11</f>
        <v/>
      </c>
      <c r="M13" s="17">
        <f>M12+M11</f>
        <v/>
      </c>
      <c r="N13" s="17">
        <f>N12+N11</f>
        <v/>
      </c>
      <c r="O13" s="17">
        <f>O12+O11</f>
        <v/>
      </c>
      <c r="P13" s="17">
        <f>P12+P11</f>
        <v/>
      </c>
      <c r="Q13" s="17">
        <f>Q12+Q11</f>
        <v/>
      </c>
      <c r="R13" s="17">
        <f>R12+R11</f>
        <v/>
      </c>
      <c r="S13" s="17">
        <f>S12+S11</f>
        <v/>
      </c>
      <c r="T13" s="17">
        <f>T12+T11</f>
        <v/>
      </c>
      <c r="U13" s="17">
        <f>U12+U11</f>
        <v/>
      </c>
      <c r="V13" s="17">
        <f>V12+V11</f>
        <v/>
      </c>
      <c r="W13" s="17">
        <f>W12+W11</f>
        <v/>
      </c>
      <c r="X13" s="17">
        <f>X12+X11</f>
        <v/>
      </c>
      <c r="Y13" s="17">
        <f>Y12+Y11</f>
        <v/>
      </c>
      <c r="Z13" s="17">
        <f>Z12+Z11</f>
        <v/>
      </c>
      <c r="AA13" s="17">
        <f>AA12+AA11</f>
        <v/>
      </c>
    </row>
    <row r="14">
      <c r="B14" s="16" t="inlineStr">
        <is>
          <t>Накопленный денежный поток</t>
        </is>
      </c>
      <c r="D14" s="17">
        <f>D11</f>
        <v/>
      </c>
      <c r="E14" s="17">
        <f>D14+E11</f>
        <v/>
      </c>
      <c r="F14" s="17">
        <f>E14+F11</f>
        <v/>
      </c>
      <c r="G14" s="17">
        <f>F14+G11</f>
        <v/>
      </c>
      <c r="H14" s="17">
        <f>G14+H11</f>
        <v/>
      </c>
      <c r="I14" s="17">
        <f>H14+I11</f>
        <v/>
      </c>
      <c r="J14" s="17">
        <f>I14+J11</f>
        <v/>
      </c>
      <c r="K14" s="17">
        <f>J14+K11</f>
        <v/>
      </c>
      <c r="L14" s="17">
        <f>K14+L11</f>
        <v/>
      </c>
      <c r="M14" s="17">
        <f>L14+M11</f>
        <v/>
      </c>
      <c r="N14" s="17">
        <f>M14+N11</f>
        <v/>
      </c>
      <c r="O14" s="17">
        <f>N14+O11</f>
        <v/>
      </c>
      <c r="P14" s="17">
        <f>O14+P11</f>
        <v/>
      </c>
      <c r="Q14" s="17">
        <f>P14+Q11</f>
        <v/>
      </c>
      <c r="R14" s="17">
        <f>Q14+R11</f>
        <v/>
      </c>
      <c r="S14" s="17">
        <f>R14+S11</f>
        <v/>
      </c>
      <c r="T14" s="17">
        <f>S14+T11</f>
        <v/>
      </c>
      <c r="U14" s="17">
        <f>T14+U11</f>
        <v/>
      </c>
      <c r="V14" s="17">
        <f>U14+V11</f>
        <v/>
      </c>
      <c r="W14" s="17">
        <f>V14+W11</f>
        <v/>
      </c>
      <c r="X14" s="17">
        <f>W14+X11</f>
        <v/>
      </c>
      <c r="Y14" s="17">
        <f>X14+Y11</f>
        <v/>
      </c>
      <c r="Z14" s="17">
        <f>Y14+Z11</f>
        <v/>
      </c>
      <c r="AA14" s="17">
        <f>Z14+AA11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18"/>
  <sheetViews>
    <sheetView workbookViewId="0">
      <selection activeCell="A1" sqref="A1"/>
    </sheetView>
  </sheetViews>
  <sheetFormatPr baseColWidth="8" defaultRowHeight="15"/>
  <cols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8" t="inlineStr">
        <is>
          <t>Модель запуска в Лигурии: hardware + agent-сервисы для отелей (EUR, без НДС)</t>
        </is>
      </c>
    </row>
    <row r="3" ht="45" customHeight="1">
      <c r="B3" s="3" t="inlineStr">
        <is>
          <t>Категория</t>
        </is>
      </c>
      <c r="C3" s="3" t="inlineStr">
        <is>
          <t>Первоначальные затраты / ед.</t>
        </is>
      </c>
      <c r="D3" s="3" t="inlineStr">
        <is>
          <t>Разовая цена / ед.</t>
        </is>
      </c>
      <c r="E3" s="3" t="inlineStr">
        <is>
          <t>Маржа на разовой части / ед.</t>
        </is>
      </c>
      <c r="F3" s="3" t="inlineStr">
        <is>
          <t>Ежемесячный вклад / ед.</t>
        </is>
      </c>
      <c r="G3" s="3" t="inlineStr">
        <is>
          <t>Payback (мес.)</t>
        </is>
      </c>
      <c r="H3" s="3" t="inlineStr">
        <is>
          <t>Landed-затраты за 24 мес. (инвестиции)</t>
        </is>
      </c>
      <c r="I3" s="3" t="inlineStr">
        <is>
          <t>Выручка за 24 мес.</t>
        </is>
      </c>
      <c r="J3" s="3" t="inlineStr">
        <is>
          <t>Вклад за 24 мес.</t>
        </is>
      </c>
      <c r="K3" s="3" t="inlineStr">
        <is>
          <t>Вклад / инвестиции</t>
        </is>
      </c>
      <c r="L3" s="3" t="inlineStr">
        <is>
          <t>Активные ед., месяц 24</t>
        </is>
      </c>
      <c r="M3" s="3" t="inlineStr">
        <is>
          <t>ID</t>
        </is>
      </c>
    </row>
    <row r="4">
      <c r="B4" t="inlineStr">
        <is>
          <t>Hotel Agent OS (платформа агентов)</t>
        </is>
      </c>
      <c r="C4" s="17">
        <f>'Допущения'!C15+'Допущения'!D15</f>
        <v/>
      </c>
      <c r="D4" s="17">
        <f>'Допущения'!E15</f>
        <v/>
      </c>
      <c r="E4" s="17">
        <f>D4-C4</f>
        <v/>
      </c>
      <c r="F4" s="17">
        <f>'Допущения'!F15+'Допущения'!G15-'Допущения'!H15</f>
        <v/>
      </c>
      <c r="G4" s="19">
        <f>IF(F4&lt;=0,"н/д",MAX(0,C4-D4)/F4)</f>
        <v/>
      </c>
      <c r="H4" s="17">
        <f>SUMIFS('Модель'!$AB$7:$AB$111,'Модель'!$A$7:$A$111,$M4,'Модель'!$C$7:$C$111,"COGS")</f>
        <v/>
      </c>
      <c r="I4" s="17">
        <f>SUMIFS('Модель'!$AB$7:$AB$111,'Модель'!$A$7:$A$111,$M4,'Модель'!$C$7:$C$111,"HWREV")+SUMIFS('Модель'!$AB$7:$AB$111,'Модель'!$A$7:$A$111,$M4,'Модель'!$C$7:$C$111,"RECREV")+SUMIFS('Модель'!$AB$7:$AB$111,'Модель'!$A$7:$A$111,$M4,'Модель'!$C$7:$C$111,"TXNREV")</f>
        <v/>
      </c>
      <c r="J4" s="17">
        <f>I4-H4-SUMIFS('Модель'!$AB$7:$AB$111,'Модель'!$A$7:$A$111,$M4,'Модель'!$C$7:$C$111,"VARC")</f>
        <v/>
      </c>
      <c r="K4" s="20">
        <f>IF(H4=0,"н/д",J4/H4)</f>
        <v/>
      </c>
      <c r="L4" s="21">
        <f>SUMIFS('Модель'!$AA$7:$AA$111,'Модель'!$A$7:$A$111,$M4,'Модель'!$C$7:$C$111,"ACTU")</f>
        <v/>
      </c>
      <c r="M4" t="inlineStr">
        <is>
          <t>C01</t>
        </is>
      </c>
    </row>
    <row r="5">
      <c r="B5" t="inlineStr">
        <is>
          <t>GuestNode Lobby (ресепшен)</t>
        </is>
      </c>
      <c r="C5" s="17">
        <f>'Допущения'!C16+'Допущения'!D16</f>
        <v/>
      </c>
      <c r="D5" s="17">
        <f>'Допущения'!E16</f>
        <v/>
      </c>
      <c r="E5" s="17">
        <f>D5-C5</f>
        <v/>
      </c>
      <c r="F5" s="17">
        <f>'Допущения'!F16+'Допущения'!G16-'Допущения'!H16</f>
        <v/>
      </c>
      <c r="G5" s="19">
        <f>IF(F5&lt;=0,"н/д",MAX(0,C5-D5)/F5)</f>
        <v/>
      </c>
      <c r="H5" s="17">
        <f>SUMIFS('Модель'!$AB$7:$AB$111,'Модель'!$A$7:$A$111,$M5,'Модель'!$C$7:$C$111,"COGS")</f>
        <v/>
      </c>
      <c r="I5" s="17">
        <f>SUMIFS('Модель'!$AB$7:$AB$111,'Модель'!$A$7:$A$111,$M5,'Модель'!$C$7:$C$111,"HWREV")+SUMIFS('Модель'!$AB$7:$AB$111,'Модель'!$A$7:$A$111,$M5,'Модель'!$C$7:$C$111,"RECREV")+SUMIFS('Модель'!$AB$7:$AB$111,'Модель'!$A$7:$A$111,$M5,'Модель'!$C$7:$C$111,"TXNREV")</f>
        <v/>
      </c>
      <c r="J5" s="17">
        <f>I5-H5-SUMIFS('Модель'!$AB$7:$AB$111,'Модель'!$A$7:$A$111,$M5,'Модель'!$C$7:$C$111,"VARC")</f>
        <v/>
      </c>
      <c r="K5" s="20">
        <f>IF(H5=0,"н/д",J5/H5)</f>
        <v/>
      </c>
      <c r="L5" s="21">
        <f>SUMIFS('Модель'!$AA$7:$AA$111,'Модель'!$A$7:$A$111,$M5,'Модель'!$C$7:$C$111,"ACTU")</f>
        <v/>
      </c>
      <c r="M5" t="inlineStr">
        <is>
          <t>C02</t>
        </is>
      </c>
    </row>
    <row r="6">
      <c r="B6" t="inlineStr">
        <is>
          <t>GuestNode в номере</t>
        </is>
      </c>
      <c r="C6" s="17">
        <f>'Допущения'!C17+'Допущения'!D17</f>
        <v/>
      </c>
      <c r="D6" s="17">
        <f>'Допущения'!E17</f>
        <v/>
      </c>
      <c r="E6" s="17">
        <f>D6-C6</f>
        <v/>
      </c>
      <c r="F6" s="17">
        <f>'Допущения'!F17+'Допущения'!G17-'Допущения'!H17</f>
        <v/>
      </c>
      <c r="G6" s="19">
        <f>IF(F6&lt;=0,"н/д",MAX(0,C6-D6)/F6)</f>
        <v/>
      </c>
      <c r="H6" s="17">
        <f>SUMIFS('Модель'!$AB$7:$AB$111,'Модель'!$A$7:$A$111,$M6,'Модель'!$C$7:$C$111,"COGS")</f>
        <v/>
      </c>
      <c r="I6" s="17">
        <f>SUMIFS('Модель'!$AB$7:$AB$111,'Модель'!$A$7:$A$111,$M6,'Модель'!$C$7:$C$111,"HWREV")+SUMIFS('Модель'!$AB$7:$AB$111,'Модель'!$A$7:$A$111,$M6,'Модель'!$C$7:$C$111,"RECREV")+SUMIFS('Модель'!$AB$7:$AB$111,'Модель'!$A$7:$A$111,$M6,'Модель'!$C$7:$C$111,"TXNREV")</f>
        <v/>
      </c>
      <c r="J6" s="17">
        <f>I6-H6-SUMIFS('Модель'!$AB$7:$AB$111,'Модель'!$A$7:$A$111,$M6,'Модель'!$C$7:$C$111,"VARC")</f>
        <v/>
      </c>
      <c r="K6" s="20">
        <f>IF(H6=0,"н/д",J6/H6)</f>
        <v/>
      </c>
      <c r="L6" s="21">
        <f>SUMIFS('Модель'!$AA$7:$AA$111,'Модель'!$A$7:$A$111,$M6,'Модель'!$C$7:$C$111,"ACTU")</f>
        <v/>
      </c>
      <c r="M6" t="inlineStr">
        <is>
          <t>C03</t>
        </is>
      </c>
    </row>
    <row r="7">
      <c r="B7" t="inlineStr">
        <is>
          <t>Smart Travel Wall (микро-магазин)</t>
        </is>
      </c>
      <c r="C7" s="17">
        <f>'Допущения'!C18+'Допущения'!D18</f>
        <v/>
      </c>
      <c r="D7" s="17">
        <f>'Допущения'!E18</f>
        <v/>
      </c>
      <c r="E7" s="17">
        <f>D7-C7</f>
        <v/>
      </c>
      <c r="F7" s="17">
        <f>'Допущения'!F18+'Допущения'!G18-'Допущения'!H18</f>
        <v/>
      </c>
      <c r="G7" s="19">
        <f>IF(F7&lt;=0,"н/д",MAX(0,C7-D7)/F7)</f>
        <v/>
      </c>
      <c r="H7" s="17">
        <f>SUMIFS('Модель'!$AB$7:$AB$111,'Модель'!$A$7:$A$111,$M7,'Модель'!$C$7:$C$111,"COGS")</f>
        <v/>
      </c>
      <c r="I7" s="17">
        <f>SUMIFS('Модель'!$AB$7:$AB$111,'Модель'!$A$7:$A$111,$M7,'Модель'!$C$7:$C$111,"HWREV")+SUMIFS('Модель'!$AB$7:$AB$111,'Модель'!$A$7:$A$111,$M7,'Модель'!$C$7:$C$111,"RECREV")+SUMIFS('Модель'!$AB$7:$AB$111,'Модель'!$A$7:$A$111,$M7,'Модель'!$C$7:$C$111,"TXNREV")</f>
        <v/>
      </c>
      <c r="J7" s="17">
        <f>I7-H7-SUMIFS('Модель'!$AB$7:$AB$111,'Модель'!$A$7:$A$111,$M7,'Модель'!$C$7:$C$111,"VARC")</f>
        <v/>
      </c>
      <c r="K7" s="20">
        <f>IF(H7=0,"н/д",J7/H7)</f>
        <v/>
      </c>
      <c r="L7" s="21">
        <f>SUMIFS('Модель'!$AA$7:$AA$111,'Модель'!$A$7:$A$111,$M7,'Модель'!$C$7:$C$111,"ACTU")</f>
        <v/>
      </c>
      <c r="M7" t="inlineStr">
        <is>
          <t>C04</t>
        </is>
      </c>
    </row>
    <row r="8">
      <c r="B8" t="inlineStr">
        <is>
          <t>Rental-локеры</t>
        </is>
      </c>
      <c r="C8" s="17">
        <f>'Допущения'!C19+'Допущения'!D19</f>
        <v/>
      </c>
      <c r="D8" s="17">
        <f>'Допущения'!E19</f>
        <v/>
      </c>
      <c r="E8" s="17">
        <f>D8-C8</f>
        <v/>
      </c>
      <c r="F8" s="17">
        <f>'Допущения'!F19+'Допущения'!G19-'Допущения'!H19</f>
        <v/>
      </c>
      <c r="G8" s="19">
        <f>IF(F8&lt;=0,"н/д",MAX(0,C8-D8)/F8)</f>
        <v/>
      </c>
      <c r="H8" s="17">
        <f>SUMIFS('Модель'!$AB$7:$AB$111,'Модель'!$A$7:$A$111,$M8,'Модель'!$C$7:$C$111,"COGS")</f>
        <v/>
      </c>
      <c r="I8" s="17">
        <f>SUMIFS('Модель'!$AB$7:$AB$111,'Модель'!$A$7:$A$111,$M8,'Модель'!$C$7:$C$111,"HWREV")+SUMIFS('Модель'!$AB$7:$AB$111,'Модель'!$A$7:$A$111,$M8,'Модель'!$C$7:$C$111,"RECREV")+SUMIFS('Модель'!$AB$7:$AB$111,'Модель'!$A$7:$A$111,$M8,'Модель'!$C$7:$C$111,"TXNREV")</f>
        <v/>
      </c>
      <c r="J8" s="17">
        <f>I8-H8-SUMIFS('Модель'!$AB$7:$AB$111,'Модель'!$A$7:$A$111,$M8,'Модель'!$C$7:$C$111,"VARC")</f>
        <v/>
      </c>
      <c r="K8" s="20">
        <f>IF(H8=0,"н/д",J8/H8)</f>
        <v/>
      </c>
      <c r="L8" s="21">
        <f>SUMIFS('Модель'!$AA$7:$AA$111,'Модель'!$A$7:$A$111,$M8,'Модель'!$C$7:$C$111,"ACTU")</f>
        <v/>
      </c>
      <c r="M8" t="inlineStr">
        <is>
          <t>C05</t>
        </is>
      </c>
    </row>
    <row r="9">
      <c r="B9" t="inlineStr">
        <is>
          <t>Локеры для багажа</t>
        </is>
      </c>
      <c r="C9" s="17">
        <f>'Допущения'!C20+'Допущения'!D20</f>
        <v/>
      </c>
      <c r="D9" s="17">
        <f>'Допущения'!E20</f>
        <v/>
      </c>
      <c r="E9" s="17">
        <f>D9-C9</f>
        <v/>
      </c>
      <c r="F9" s="17">
        <f>'Допущения'!F20+'Допущения'!G20-'Допущения'!H20</f>
        <v/>
      </c>
      <c r="G9" s="19">
        <f>IF(F9&lt;=0,"н/д",MAX(0,C9-D9)/F9)</f>
        <v/>
      </c>
      <c r="H9" s="17">
        <f>SUMIFS('Модель'!$AB$7:$AB$111,'Модель'!$A$7:$A$111,$M9,'Модель'!$C$7:$C$111,"COGS")</f>
        <v/>
      </c>
      <c r="I9" s="17">
        <f>SUMIFS('Модель'!$AB$7:$AB$111,'Модель'!$A$7:$A$111,$M9,'Модель'!$C$7:$C$111,"HWREV")+SUMIFS('Модель'!$AB$7:$AB$111,'Модель'!$A$7:$A$111,$M9,'Модель'!$C$7:$C$111,"RECREV")+SUMIFS('Модель'!$AB$7:$AB$111,'Модель'!$A$7:$A$111,$M9,'Модель'!$C$7:$C$111,"TXNREV")</f>
        <v/>
      </c>
      <c r="J9" s="17">
        <f>I9-H9-SUMIFS('Модель'!$AB$7:$AB$111,'Модель'!$A$7:$A$111,$M9,'Модель'!$C$7:$C$111,"VARC")</f>
        <v/>
      </c>
      <c r="K9" s="20">
        <f>IF(H9=0,"н/д",J9/H9)</f>
        <v/>
      </c>
      <c r="L9" s="21">
        <f>SUMIFS('Модель'!$AA$7:$AA$111,'Модель'!$A$7:$A$111,$M9,'Модель'!$C$7:$C$111,"ACTU")</f>
        <v/>
      </c>
      <c r="M9" t="inlineStr">
        <is>
          <t>C06</t>
        </is>
      </c>
    </row>
    <row r="10">
      <c r="B10" t="inlineStr">
        <is>
          <t>Аренда power bank</t>
        </is>
      </c>
      <c r="C10" s="17">
        <f>'Допущения'!C21+'Допущения'!D21</f>
        <v/>
      </c>
      <c r="D10" s="17">
        <f>'Допущения'!E21</f>
        <v/>
      </c>
      <c r="E10" s="17">
        <f>D10-C10</f>
        <v/>
      </c>
      <c r="F10" s="17">
        <f>'Допущения'!F21+'Допущения'!G21-'Допущения'!H21</f>
        <v/>
      </c>
      <c r="G10" s="19">
        <f>IF(F10&lt;=0,"н/д",MAX(0,C10-D10)/F10)</f>
        <v/>
      </c>
      <c r="H10" s="17">
        <f>SUMIFS('Модель'!$AB$7:$AB$111,'Модель'!$A$7:$A$111,$M10,'Модель'!$C$7:$C$111,"COGS")</f>
        <v/>
      </c>
      <c r="I10" s="17">
        <f>SUMIFS('Модель'!$AB$7:$AB$111,'Модель'!$A$7:$A$111,$M10,'Модель'!$C$7:$C$111,"HWREV")+SUMIFS('Модель'!$AB$7:$AB$111,'Модель'!$A$7:$A$111,$M10,'Модель'!$C$7:$C$111,"RECREV")+SUMIFS('Модель'!$AB$7:$AB$111,'Модель'!$A$7:$A$111,$M10,'Модель'!$C$7:$C$111,"TXNREV")</f>
        <v/>
      </c>
      <c r="J10" s="17">
        <f>I10-H10-SUMIFS('Модель'!$AB$7:$AB$111,'Модель'!$A$7:$A$111,$M10,'Модель'!$C$7:$C$111,"VARC")</f>
        <v/>
      </c>
      <c r="K10" s="20">
        <f>IF(H10=0,"н/д",J10/H10)</f>
        <v/>
      </c>
      <c r="L10" s="21">
        <f>SUMIFS('Модель'!$AA$7:$AA$111,'Модель'!$A$7:$A$111,$M10,'Модель'!$C$7:$C$111,"ACTU")</f>
        <v/>
      </c>
      <c r="M10" t="inlineStr">
        <is>
          <t>C07</t>
        </is>
      </c>
    </row>
    <row r="11">
      <c r="B11" t="inlineStr">
        <is>
          <t>IoT-комплект энергосбережения (на номер)</t>
        </is>
      </c>
      <c r="C11" s="17">
        <f>'Допущения'!C22+'Допущения'!D22</f>
        <v/>
      </c>
      <c r="D11" s="17">
        <f>'Допущения'!E22</f>
        <v/>
      </c>
      <c r="E11" s="17">
        <f>D11-C11</f>
        <v/>
      </c>
      <c r="F11" s="17">
        <f>'Допущения'!F22+'Допущения'!G22-'Допущения'!H22</f>
        <v/>
      </c>
      <c r="G11" s="19">
        <f>IF(F11&lt;=0,"н/д",MAX(0,C11-D11)/F11)</f>
        <v/>
      </c>
      <c r="H11" s="17">
        <f>SUMIFS('Модель'!$AB$7:$AB$111,'Модель'!$A$7:$A$111,$M11,'Модель'!$C$7:$C$111,"COGS")</f>
        <v/>
      </c>
      <c r="I11" s="17">
        <f>SUMIFS('Модель'!$AB$7:$AB$111,'Модель'!$A$7:$A$111,$M11,'Модель'!$C$7:$C$111,"HWREV")+SUMIFS('Модель'!$AB$7:$AB$111,'Модель'!$A$7:$A$111,$M11,'Модель'!$C$7:$C$111,"RECREV")+SUMIFS('Модель'!$AB$7:$AB$111,'Модель'!$A$7:$A$111,$M11,'Модель'!$C$7:$C$111,"TXNREV")</f>
        <v/>
      </c>
      <c r="J11" s="17">
        <f>I11-H11-SUMIFS('Модель'!$AB$7:$AB$111,'Модель'!$A$7:$A$111,$M11,'Модель'!$C$7:$C$111,"VARC")</f>
        <v/>
      </c>
      <c r="K11" s="20">
        <f>IF(H11=0,"н/д",J11/H11)</f>
        <v/>
      </c>
      <c r="L11" s="21">
        <f>SUMIFS('Модель'!$AA$7:$AA$111,'Модель'!$A$7:$A$111,$M11,'Модель'!$C$7:$C$111,"ACTU")</f>
        <v/>
      </c>
      <c r="M11" t="inlineStr">
        <is>
          <t>C08</t>
        </is>
      </c>
    </row>
    <row r="12">
      <c r="B12" t="inlineStr">
        <is>
          <t>Smart access (на дверь)</t>
        </is>
      </c>
      <c r="C12" s="17">
        <f>'Допущения'!C23+'Допущения'!D23</f>
        <v/>
      </c>
      <c r="D12" s="17">
        <f>'Допущения'!E23</f>
        <v/>
      </c>
      <c r="E12" s="17">
        <f>D12-C12</f>
        <v/>
      </c>
      <c r="F12" s="17">
        <f>'Допущения'!F23+'Допущения'!G23-'Допущения'!H23</f>
        <v/>
      </c>
      <c r="G12" s="19">
        <f>IF(F12&lt;=0,"н/д",MAX(0,C12-D12)/F12)</f>
        <v/>
      </c>
      <c r="H12" s="17">
        <f>SUMIFS('Модель'!$AB$7:$AB$111,'Модель'!$A$7:$A$111,$M12,'Модель'!$C$7:$C$111,"COGS")</f>
        <v/>
      </c>
      <c r="I12" s="17">
        <f>SUMIFS('Модель'!$AB$7:$AB$111,'Модель'!$A$7:$A$111,$M12,'Модель'!$C$7:$C$111,"HWREV")+SUMIFS('Модель'!$AB$7:$AB$111,'Модель'!$A$7:$A$111,$M12,'Модель'!$C$7:$C$111,"RECREV")+SUMIFS('Модель'!$AB$7:$AB$111,'Модель'!$A$7:$A$111,$M12,'Модель'!$C$7:$C$111,"TXNREV")</f>
        <v/>
      </c>
      <c r="J12" s="17">
        <f>I12-H12-SUMIFS('Модель'!$AB$7:$AB$111,'Модель'!$A$7:$A$111,$M12,'Модель'!$C$7:$C$111,"VARC")</f>
        <v/>
      </c>
      <c r="K12" s="20">
        <f>IF(H12=0,"н/д",J12/H12)</f>
        <v/>
      </c>
      <c r="L12" s="21">
        <f>SUMIFS('Модель'!$AA$7:$AA$111,'Модель'!$A$7:$A$111,$M12,'Модель'!$C$7:$C$111,"ACTU")</f>
        <v/>
      </c>
      <c r="M12" t="inlineStr">
        <is>
          <t>C09</t>
        </is>
      </c>
    </row>
    <row r="13">
      <c r="B13" t="inlineStr">
        <is>
          <t>Датчики Healthy Room (на номер)</t>
        </is>
      </c>
      <c r="C13" s="17">
        <f>'Допущения'!C24+'Допущения'!D24</f>
        <v/>
      </c>
      <c r="D13" s="17">
        <f>'Допущения'!E24</f>
        <v/>
      </c>
      <c r="E13" s="17">
        <f>D13-C13</f>
        <v/>
      </c>
      <c r="F13" s="17">
        <f>'Допущения'!F24+'Допущения'!G24-'Допущения'!H24</f>
        <v/>
      </c>
      <c r="G13" s="19">
        <f>IF(F13&lt;=0,"н/д",MAX(0,C13-D13)/F13)</f>
        <v/>
      </c>
      <c r="H13" s="17">
        <f>SUMIFS('Модель'!$AB$7:$AB$111,'Модель'!$A$7:$A$111,$M13,'Модель'!$C$7:$C$111,"COGS")</f>
        <v/>
      </c>
      <c r="I13" s="17">
        <f>SUMIFS('Модель'!$AB$7:$AB$111,'Модель'!$A$7:$A$111,$M13,'Модель'!$C$7:$C$111,"HWREV")+SUMIFS('Модель'!$AB$7:$AB$111,'Модель'!$A$7:$A$111,$M13,'Модель'!$C$7:$C$111,"RECREV")+SUMIFS('Модель'!$AB$7:$AB$111,'Модель'!$A$7:$A$111,$M13,'Модель'!$C$7:$C$111,"TXNREV")</f>
        <v/>
      </c>
      <c r="J13" s="17">
        <f>I13-H13-SUMIFS('Модель'!$AB$7:$AB$111,'Модель'!$A$7:$A$111,$M13,'Модель'!$C$7:$C$111,"VARC")</f>
        <v/>
      </c>
      <c r="K13" s="20">
        <f>IF(H13=0,"н/д",J13/H13)</f>
        <v/>
      </c>
      <c r="L13" s="21">
        <f>SUMIFS('Модель'!$AA$7:$AA$111,'Модель'!$A$7:$A$111,$M13,'Модель'!$C$7:$C$111,"ACTU")</f>
        <v/>
      </c>
      <c r="M13" t="inlineStr">
        <is>
          <t>C10</t>
        </is>
      </c>
    </row>
    <row r="14">
      <c r="B14" t="inlineStr">
        <is>
          <t>Киоск check-in / ID</t>
        </is>
      </c>
      <c r="C14" s="17">
        <f>'Допущения'!C25+'Допущения'!D25</f>
        <v/>
      </c>
      <c r="D14" s="17">
        <f>'Допущения'!E25</f>
        <v/>
      </c>
      <c r="E14" s="17">
        <f>D14-C14</f>
        <v/>
      </c>
      <c r="F14" s="17">
        <f>'Допущения'!F25+'Допущения'!G25-'Допущения'!H25</f>
        <v/>
      </c>
      <c r="G14" s="19">
        <f>IF(F14&lt;=0,"н/д",MAX(0,C14-D14)/F14)</f>
        <v/>
      </c>
      <c r="H14" s="17">
        <f>SUMIFS('Модель'!$AB$7:$AB$111,'Модель'!$A$7:$A$111,$M14,'Модель'!$C$7:$C$111,"COGS")</f>
        <v/>
      </c>
      <c r="I14" s="17">
        <f>SUMIFS('Модель'!$AB$7:$AB$111,'Модель'!$A$7:$A$111,$M14,'Модель'!$C$7:$C$111,"HWREV")+SUMIFS('Модель'!$AB$7:$AB$111,'Модель'!$A$7:$A$111,$M14,'Модель'!$C$7:$C$111,"RECREV")+SUMIFS('Модель'!$AB$7:$AB$111,'Модель'!$A$7:$A$111,$M14,'Модель'!$C$7:$C$111,"TXNREV")</f>
        <v/>
      </c>
      <c r="J14" s="17">
        <f>I14-H14-SUMIFS('Модель'!$AB$7:$AB$111,'Модель'!$A$7:$A$111,$M14,'Модель'!$C$7:$C$111,"VARC")</f>
        <v/>
      </c>
      <c r="K14" s="20">
        <f>IF(H14=0,"н/д",J14/H14)</f>
        <v/>
      </c>
      <c r="L14" s="21">
        <f>SUMIFS('Модель'!$AA$7:$AA$111,'Модель'!$A$7:$A$111,$M14,'Модель'!$C$7:$C$111,"ACTU")</f>
        <v/>
      </c>
      <c r="M14" t="inlineStr">
        <is>
          <t>C11</t>
        </is>
      </c>
    </row>
    <row r="15">
      <c r="B15" t="inlineStr">
        <is>
          <t>Локальный marketplace</t>
        </is>
      </c>
      <c r="C15" s="17">
        <f>'Допущения'!C26+'Допущения'!D26</f>
        <v/>
      </c>
      <c r="D15" s="17">
        <f>'Допущения'!E26</f>
        <v/>
      </c>
      <c r="E15" s="17">
        <f>D15-C15</f>
        <v/>
      </c>
      <c r="F15" s="17">
        <f>'Допущения'!F26+'Допущения'!G26-'Допущения'!H26</f>
        <v/>
      </c>
      <c r="G15" s="19">
        <f>IF(F15&lt;=0,"н/д",MAX(0,C15-D15)/F15)</f>
        <v/>
      </c>
      <c r="H15" s="17">
        <f>SUMIFS('Модель'!$AB$7:$AB$111,'Модель'!$A$7:$A$111,$M15,'Модель'!$C$7:$C$111,"COGS")</f>
        <v/>
      </c>
      <c r="I15" s="17">
        <f>SUMIFS('Модель'!$AB$7:$AB$111,'Модель'!$A$7:$A$111,$M15,'Модель'!$C$7:$C$111,"HWREV")+SUMIFS('Модель'!$AB$7:$AB$111,'Модель'!$A$7:$A$111,$M15,'Модель'!$C$7:$C$111,"RECREV")+SUMIFS('Модель'!$AB$7:$AB$111,'Модель'!$A$7:$A$111,$M15,'Модель'!$C$7:$C$111,"TXNREV")</f>
        <v/>
      </c>
      <c r="J15" s="17">
        <f>I15-H15-SUMIFS('Модель'!$AB$7:$AB$111,'Модель'!$A$7:$A$111,$M15,'Модель'!$C$7:$C$111,"VARC")</f>
        <v/>
      </c>
      <c r="K15" s="20">
        <f>IF(H15=0,"н/д",J15/H15)</f>
        <v/>
      </c>
      <c r="L15" s="21">
        <f>SUMIFS('Модель'!$AA$7:$AA$111,'Модель'!$A$7:$A$111,$M15,'Модель'!$C$7:$C$111,"ACTU")</f>
        <v/>
      </c>
      <c r="M15" t="inlineStr">
        <is>
          <t>C12</t>
        </is>
      </c>
    </row>
    <row r="16">
      <c r="B16" t="inlineStr">
        <is>
          <t>Робот-доставщик (аренда)</t>
        </is>
      </c>
      <c r="C16" s="17">
        <f>'Допущения'!C27+'Допущения'!D27</f>
        <v/>
      </c>
      <c r="D16" s="17">
        <f>'Допущения'!E27</f>
        <v/>
      </c>
      <c r="E16" s="17">
        <f>D16-C16</f>
        <v/>
      </c>
      <c r="F16" s="17">
        <f>'Допущения'!F27+'Допущения'!G27-'Допущения'!H27</f>
        <v/>
      </c>
      <c r="G16" s="19">
        <f>IF(F16&lt;=0,"н/д",MAX(0,C16-D16)/F16)</f>
        <v/>
      </c>
      <c r="H16" s="17">
        <f>SUMIFS('Модель'!$AB$7:$AB$111,'Модель'!$A$7:$A$111,$M16,'Модель'!$C$7:$C$111,"COGS")</f>
        <v/>
      </c>
      <c r="I16" s="17">
        <f>SUMIFS('Модель'!$AB$7:$AB$111,'Модель'!$A$7:$A$111,$M16,'Модель'!$C$7:$C$111,"HWREV")+SUMIFS('Модель'!$AB$7:$AB$111,'Модель'!$A$7:$A$111,$M16,'Модель'!$C$7:$C$111,"RECREV")+SUMIFS('Модель'!$AB$7:$AB$111,'Модель'!$A$7:$A$111,$M16,'Модель'!$C$7:$C$111,"TXNREV")</f>
        <v/>
      </c>
      <c r="J16" s="17">
        <f>I16-H16-SUMIFS('Модель'!$AB$7:$AB$111,'Модель'!$A$7:$A$111,$M16,'Модель'!$C$7:$C$111,"VARC")</f>
        <v/>
      </c>
      <c r="K16" s="20">
        <f>IF(H16=0,"н/д",J16/H16)</f>
        <v/>
      </c>
      <c r="L16" s="21">
        <f>SUMIFS('Модель'!$AA$7:$AA$111,'Модель'!$A$7:$A$111,$M16,'Модель'!$C$7:$C$111,"ACTU")</f>
        <v/>
      </c>
      <c r="M16" t="inlineStr">
        <is>
          <t>C13</t>
        </is>
      </c>
    </row>
    <row r="17">
      <c r="B17" t="inlineStr">
        <is>
          <t>Робот-уборщик (аренда)</t>
        </is>
      </c>
      <c r="C17" s="17">
        <f>'Допущения'!C28+'Допущения'!D28</f>
        <v/>
      </c>
      <c r="D17" s="17">
        <f>'Допущения'!E28</f>
        <v/>
      </c>
      <c r="E17" s="17">
        <f>D17-C17</f>
        <v/>
      </c>
      <c r="F17" s="17">
        <f>'Допущения'!F28+'Допущения'!G28-'Допущения'!H28</f>
        <v/>
      </c>
      <c r="G17" s="19">
        <f>IF(F17&lt;=0,"н/д",MAX(0,C17-D17)/F17)</f>
        <v/>
      </c>
      <c r="H17" s="17">
        <f>SUMIFS('Модель'!$AB$7:$AB$111,'Модель'!$A$7:$A$111,$M17,'Модель'!$C$7:$C$111,"COGS")</f>
        <v/>
      </c>
      <c r="I17" s="17">
        <f>SUMIFS('Модель'!$AB$7:$AB$111,'Модель'!$A$7:$A$111,$M17,'Модель'!$C$7:$C$111,"HWREV")+SUMIFS('Модель'!$AB$7:$AB$111,'Модель'!$A$7:$A$111,$M17,'Модель'!$C$7:$C$111,"RECREV")+SUMIFS('Модель'!$AB$7:$AB$111,'Модель'!$A$7:$A$111,$M17,'Модель'!$C$7:$C$111,"TXNREV")</f>
        <v/>
      </c>
      <c r="J17" s="17">
        <f>I17-H17-SUMIFS('Модель'!$AB$7:$AB$111,'Модель'!$A$7:$A$111,$M17,'Модель'!$C$7:$C$111,"VARC")</f>
        <v/>
      </c>
      <c r="K17" s="20">
        <f>IF(H17=0,"н/д",J17/H17)</f>
        <v/>
      </c>
      <c r="L17" s="21">
        <f>SUMIFS('Модель'!$AA$7:$AA$111,'Модель'!$A$7:$A$111,$M17,'Модель'!$C$7:$C$111,"ACTU")</f>
        <v/>
      </c>
      <c r="M17" t="inlineStr">
        <is>
          <t>C14</t>
        </is>
      </c>
    </row>
    <row r="18">
      <c r="B18" t="inlineStr">
        <is>
          <t>Регулируемый vending (только fee лицензированного партнёра)</t>
        </is>
      </c>
      <c r="C18" s="17">
        <f>'Допущения'!C29+'Допущения'!D29</f>
        <v/>
      </c>
      <c r="D18" s="17">
        <f>'Допущения'!E29</f>
        <v/>
      </c>
      <c r="E18" s="17">
        <f>D18-C18</f>
        <v/>
      </c>
      <c r="F18" s="17">
        <f>'Допущения'!F29+'Допущения'!G29-'Допущения'!H29</f>
        <v/>
      </c>
      <c r="G18" s="19">
        <f>IF(F18&lt;=0,"н/д",MAX(0,C18-D18)/F18)</f>
        <v/>
      </c>
      <c r="H18" s="17">
        <f>SUMIFS('Модель'!$AB$7:$AB$111,'Модель'!$A$7:$A$111,$M18,'Модель'!$C$7:$C$111,"COGS")</f>
        <v/>
      </c>
      <c r="I18" s="17">
        <f>SUMIFS('Модель'!$AB$7:$AB$111,'Модель'!$A$7:$A$111,$M18,'Модель'!$C$7:$C$111,"HWREV")+SUMIFS('Модель'!$AB$7:$AB$111,'Модель'!$A$7:$A$111,$M18,'Модель'!$C$7:$C$111,"RECREV")+SUMIFS('Модель'!$AB$7:$AB$111,'Модель'!$A$7:$A$111,$M18,'Модель'!$C$7:$C$111,"TXNREV")</f>
        <v/>
      </c>
      <c r="J18" s="17">
        <f>I18-H18-SUMIFS('Модель'!$AB$7:$AB$111,'Модель'!$A$7:$A$111,$M18,'Модель'!$C$7:$C$111,"VARC")</f>
        <v/>
      </c>
      <c r="K18" s="20">
        <f>IF(H18=0,"н/д",J18/H18)</f>
        <v/>
      </c>
      <c r="L18" s="21">
        <f>SUMIFS('Модель'!$AA$7:$AA$111,'Модель'!$A$7:$A$111,$M18,'Модель'!$C$7:$C$111,"ACTU")</f>
        <v/>
      </c>
      <c r="M18" t="inlineStr">
        <is>
          <t>C15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0" customWidth="1" min="3" max="3"/>
  </cols>
  <sheetData>
    <row r="1">
      <c r="A1" s="3" t="inlineStr">
        <is>
          <t>Категория</t>
        </is>
      </c>
      <c r="B1" s="3" t="inlineStr">
        <is>
          <t>Требование (ориентир.)</t>
        </is>
      </c>
      <c r="C1" s="3" t="inlineStr">
        <is>
          <t>Решение для go-to-market</t>
        </is>
      </c>
    </row>
    <row r="2">
      <c r="A2" s="22" t="inlineStr">
        <is>
          <t>Agent-SaaS / данные гостей</t>
        </is>
      </c>
      <c r="B2" s="22" t="inlineStr">
        <is>
          <t>GDPR, DPA с отелями, прозрачность ИИ, меры безопасности</t>
        </is>
      </c>
      <c r="C2" s="22" t="inlineStr">
        <is>
          <t>Хостинг в ЕС, минимизация данных, audit-логи</t>
        </is>
      </c>
    </row>
    <row r="3">
      <c r="A3" s="22" t="inlineStr">
        <is>
          <t>Идентификация гостей</t>
        </is>
      </c>
      <c r="B3" s="22" t="inlineStr">
        <is>
          <t>TULPS ст. 109 / Alloggiati Web, GDPR; без долгого хранения копий документов</t>
        </is>
      </c>
      <c r="C3" s="22" t="inlineStr">
        <is>
          <t>Проверка только при check-in; устройство в номере получает краткоживущий токен</t>
        </is>
      </c>
    </row>
    <row r="4">
      <c r="A4" s="22" t="inlineStr">
        <is>
          <t>Радио-оборудование (Wi-Fi/BLE/Zigbee)</t>
        </is>
      </c>
      <c r="B4" s="22" t="inlineStr">
        <is>
          <t>CE, RED, EMC, LVD, RoHS, DoC и технический файл</t>
        </is>
      </c>
      <c r="C4" s="22" t="inlineStr">
        <is>
          <t>Ввозить только SKU с отчётами для конкретной модели</t>
        </is>
      </c>
    </row>
    <row r="5">
      <c r="A5" s="22" t="inlineStr">
        <is>
          <t>White-label / private label</t>
        </is>
      </c>
      <c r="B5" s="22" t="inlineStr">
        <is>
          <t>Импортёр может принять на себя обязанности производителя</t>
        </is>
      </c>
      <c r="C5" s="22" t="inlineStr">
        <is>
          <t>Завершить аудит соответствия до ребрендинга</t>
        </is>
      </c>
    </row>
    <row r="6">
      <c r="A6" s="22" t="inlineStr">
        <is>
          <t>Подключённые устройства (CRA)</t>
        </is>
      </c>
      <c r="B6" s="22" t="inlineStr">
        <is>
          <t>Cyber Resilience Act: отчётность с 11.09.2026, основные требования с 11.12.2027</t>
        </is>
      </c>
      <c r="C6" s="22" t="inlineStr">
        <is>
          <t>SBOM, OTA-обновления, контакт по уязвимостям</t>
        </is>
      </c>
    </row>
    <row r="7">
      <c r="A7" s="22" t="inlineStr">
        <is>
          <t>Платежи</t>
        </is>
      </c>
      <c r="B7" s="22" t="inlineStr">
        <is>
          <t>Договор с PSP/эквайером, сертифицированный терминал</t>
        </is>
      </c>
      <c r="C7" s="22" t="inlineStr">
        <is>
          <t>Использовать сертифицированный сторонний терминал</t>
        </is>
      </c>
    </row>
    <row r="8">
      <c r="A8" s="22" t="inlineStr">
        <is>
          <t>Vending еды/напитков</t>
        </is>
      </c>
      <c r="B8" s="22" t="inlineStr">
        <is>
          <t>SCIA/SUAP, HACCP, маркировка (местные правила)</t>
        </is>
      </c>
      <c r="C8" s="22" t="inlineStr">
        <is>
          <t>Партнёрство с местным лицензированным оператором</t>
        </is>
      </c>
    </row>
    <row r="9">
      <c r="A9" s="22" t="inlineStr">
        <is>
          <t>Vending алкоголя</t>
        </is>
      </c>
      <c r="B9" s="22" t="inlineStr">
        <is>
          <t>Возрастные ограничения и местные разрешения</t>
        </is>
      </c>
      <c r="C9" s="22" t="inlineStr">
        <is>
          <t>Только после юр. заключения</t>
        </is>
      </c>
    </row>
    <row r="10">
      <c r="A10" s="22" t="inlineStr">
        <is>
          <t>Табак / электронные сигареты</t>
        </is>
      </c>
      <c r="B10" s="22" t="inlineStr">
        <is>
          <t>Режим ADM, авторизованные поставки, проверка возраста, ограничения рекламы и дистанционных продаж, акциз на жидкости</t>
        </is>
      </c>
      <c r="C10" s="22" t="inlineStr">
        <is>
          <t>Только партнёрство с лицензированным оператором; без прямых продаж</t>
        </is>
      </c>
    </row>
    <row r="11">
      <c r="A11" s="22" t="inlineStr">
        <is>
          <t>Умные замки</t>
        </is>
      </c>
      <c r="B11" s="22" t="inlineStr">
        <is>
          <t>RED/EMC, совместимость с противопожарными дверями и аварийным выходом</t>
        </is>
      </c>
      <c r="C11" s="22" t="inlineStr">
        <is>
          <t>Сертифицированные замки, местный слесарь</t>
        </is>
      </c>
    </row>
    <row r="12">
      <c r="A12" s="22" t="inlineStr">
        <is>
          <t>Роботы</t>
        </is>
      </c>
      <c r="B12" s="22" t="inlineStr">
        <is>
          <t>CE, безопасность машин/продукции, ответственность и оценка рисков</t>
        </is>
      </c>
      <c r="C12" s="22" t="inlineStr">
        <is>
          <t>Сначала пилот под наблюдением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0" customWidth="1" min="3" max="3"/>
    <col width="20" customWidth="1" min="4" max="4"/>
  </cols>
  <sheetData>
    <row r="1">
      <c r="A1" s="3" t="inlineStr">
        <is>
          <t>Риск</t>
        </is>
      </c>
      <c r="B1" s="3" t="inlineStr">
        <is>
          <t>Вероятность</t>
        </is>
      </c>
      <c r="C1" s="3" t="inlineStr">
        <is>
          <t>Влияние</t>
        </is>
      </c>
      <c r="D1" s="3" t="inlineStr">
        <is>
          <t>Mitigation</t>
        </is>
      </c>
    </row>
    <row r="2">
      <c r="A2" s="22" t="inlineStr">
        <is>
          <t>Долгий цикл продаж</t>
        </is>
      </c>
      <c r="B2" s="22" t="inlineStr">
        <is>
          <t>Высокая</t>
        </is>
      </c>
      <c r="C2" s="22" t="inlineStr">
        <is>
          <t>Высокая</t>
        </is>
      </c>
      <c r="D2" s="22" t="inlineStr">
        <is>
          <t>Платные пилоты, сезонные дедлайны, партнёры PMS</t>
        </is>
      </c>
    </row>
    <row r="3">
      <c r="A3" s="22" t="inlineStr">
        <is>
          <t>Низкое использование GuestNode</t>
        </is>
      </c>
      <c r="B3" s="22" t="inlineStr">
        <is>
          <t>Средняя</t>
        </is>
      </c>
      <c r="C3" s="22" t="inlineStr">
        <is>
          <t>Высокая</t>
        </is>
      </c>
      <c r="D3" s="22" t="inlineStr">
        <is>
          <t>Сначала lobby, QR-fallback, пороги использования</t>
        </is>
      </c>
    </row>
    <row r="4">
      <c r="A4" s="22" t="inlineStr">
        <is>
          <t>Отказы оборудования</t>
        </is>
      </c>
      <c r="B4" s="22" t="inlineStr">
        <is>
          <t>Средняя</t>
        </is>
      </c>
      <c r="C4" s="22" t="inlineStr">
        <is>
          <t>Высокая</t>
        </is>
      </c>
      <c r="D4" s="22" t="inlineStr">
        <is>
          <t>Резерв 5–10%, сервис-партнёр в ЕС</t>
        </is>
      </c>
    </row>
    <row r="5">
      <c r="A5" s="22" t="inlineStr">
        <is>
          <t>Слабая документация OEM</t>
        </is>
      </c>
      <c r="B5" s="22" t="inlineStr">
        <is>
          <t>Высокая</t>
        </is>
      </c>
      <c r="C5" s="22" t="inlineStr">
        <is>
          <t>Высокая</t>
        </is>
      </c>
      <c r="D5" s="22" t="inlineStr">
        <is>
          <t>Аудит соответствия до отгрузки</t>
        </is>
      </c>
    </row>
    <row r="6">
      <c r="A6" s="22" t="inlineStr">
        <is>
          <t>Зависимость от китайского cloud</t>
        </is>
      </c>
      <c r="B6" s="22" t="inlineStr">
        <is>
          <t>Средняя</t>
        </is>
      </c>
      <c r="C6" s="22" t="inlineStr">
        <is>
          <t>Высокая</t>
        </is>
      </c>
      <c r="D6" s="22" t="inlineStr">
        <is>
          <t>Локальный API, cloud в ЕС, право экспорта данных</t>
        </is>
      </c>
    </row>
    <row r="7">
      <c r="A7" s="22" t="inlineStr">
        <is>
          <t>Фрагментация интеграций PMS</t>
        </is>
      </c>
      <c r="B7" s="22" t="inlineStr">
        <is>
          <t>Высокая</t>
        </is>
      </c>
      <c r="C7" s="22" t="inlineStr">
        <is>
          <t>Высокая</t>
        </is>
      </c>
      <c r="D7" s="22" t="inlineStr">
        <is>
          <t>Начать с 2–3 PMS</t>
        </is>
      </c>
    </row>
    <row r="8">
      <c r="A8" s="22" t="inlineStr">
        <is>
          <t>Высокая FDE-нагрузка</t>
        </is>
      </c>
      <c r="B8" s="22" t="inlineStr">
        <is>
          <t>Высокая</t>
        </is>
      </c>
      <c r="C8" s="22" t="inlineStr">
        <is>
          <t>Средняя</t>
        </is>
      </c>
      <c r="D8" s="22" t="inlineStr">
        <is>
          <t>Стандартные коннекторы и SOP</t>
        </is>
      </c>
    </row>
    <row r="9">
      <c r="A9" s="22" t="inlineStr">
        <is>
          <t>Сезонность Лигурии</t>
        </is>
      </c>
      <c r="B9" s="22" t="inlineStr">
        <is>
          <t>Высокая</t>
        </is>
      </c>
      <c r="C9" s="22" t="inlineStr">
        <is>
          <t>Высокая</t>
        </is>
      </c>
      <c r="D9" s="22" t="inlineStr">
        <is>
          <t>Годовой SaaS, монтаж вне сезона</t>
        </is>
      </c>
    </row>
    <row r="10">
      <c r="A10" s="22" t="inlineStr">
        <is>
          <t>Нехватка оборотного капитала</t>
        </is>
      </c>
      <c r="B10" s="22" t="inlineStr">
        <is>
          <t>Средняя</t>
        </is>
      </c>
      <c r="C10" s="22" t="inlineStr">
        <is>
          <t>Высокая</t>
        </is>
      </c>
      <c r="D10" s="22" t="inlineStr">
        <is>
          <t>Депозит отеля до заказа hardware</t>
        </is>
      </c>
    </row>
    <row r="11">
      <c r="A11" s="22" t="inlineStr">
        <is>
          <t>Инцидент GDPR</t>
        </is>
      </c>
      <c r="B11" s="22" t="inlineStr">
        <is>
          <t>Низкая</t>
        </is>
      </c>
      <c r="C11" s="22" t="inlineStr">
        <is>
          <t>Очень высокая</t>
        </is>
      </c>
      <c r="D11" s="22" t="inlineStr">
        <is>
          <t>Минимизация, шифрование, DPA, логирование</t>
        </is>
      </c>
    </row>
    <row r="12">
      <c r="A12" s="22" t="inlineStr">
        <is>
          <t>Санкции по табаку/vape</t>
        </is>
      </c>
      <c r="B12" s="22" t="inlineStr">
        <is>
          <t>Средняя</t>
        </is>
      </c>
      <c r="C12" s="22" t="inlineStr">
        <is>
          <t>Очень высокая</t>
        </is>
      </c>
      <c r="D12" s="22" t="inlineStr">
        <is>
          <t>Только модель с лицензированным оператором</t>
        </is>
      </c>
    </row>
    <row r="13">
      <c r="A13" s="22" t="inlineStr">
        <is>
          <t>Экономика роботов не сходится для SMB</t>
        </is>
      </c>
      <c r="B13" s="22" t="inlineStr">
        <is>
          <t>Высокая</t>
        </is>
      </c>
      <c r="C13" s="22" t="inlineStr">
        <is>
          <t>Средняя</t>
        </is>
      </c>
      <c r="D13" s="22" t="inlineStr">
        <is>
          <t>Robot-agnostic ПО; без ранней закупки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0" customWidth="1" min="3" max="3"/>
    <col width="20" customWidth="1" min="4" max="4"/>
  </cols>
  <sheetData>
    <row r="1">
      <c r="A1" s="3" t="inlineStr">
        <is>
          <t>Тренд</t>
        </is>
      </c>
      <c r="B1" s="3" t="inlineStr">
        <is>
          <t>Горизонт (лет, оценка)</t>
        </is>
      </c>
      <c r="C1" s="3" t="inlineStr">
        <is>
          <t>Оценка долговечности</t>
        </is>
      </c>
      <c r="D1" s="3" t="inlineStr">
        <is>
          <t>Инвестиционный вывод</t>
        </is>
      </c>
    </row>
    <row r="2">
      <c r="A2" s="22" t="inlineStr">
        <is>
          <t>Agentic operations</t>
        </is>
      </c>
      <c r="B2" s="22" t="inlineStr">
        <is>
          <t>7-10</t>
        </is>
      </c>
      <c r="C2" s="22" t="inlineStr">
        <is>
          <t>Очень высокий</t>
        </is>
      </c>
      <c r="D2" s="22" t="inlineStr">
        <is>
          <t>Основная software-платформа</t>
        </is>
      </c>
    </row>
    <row r="3">
      <c r="A3" s="22" t="inlineStr">
        <is>
          <t>Слой идентификации/контекста</t>
        </is>
      </c>
      <c r="B3" s="22" t="inlineStr">
        <is>
          <t>7-10</t>
        </is>
      </c>
      <c r="C3" s="22" t="inlineStr">
        <is>
          <t>Очень высокий</t>
        </is>
      </c>
      <c r="D3" s="22" t="inlineStr">
        <is>
          <t>Ключевой архитектурный актив</t>
        </is>
      </c>
    </row>
    <row r="4">
      <c r="A4" s="22" t="inlineStr">
        <is>
          <t>Многоязычный сервис гостей</t>
        </is>
      </c>
      <c r="B4" s="22" t="inlineStr">
        <is>
          <t>7-10</t>
        </is>
      </c>
      <c r="C4" s="22" t="inlineStr">
        <is>
          <t>Очень высокий (сам по себе не moat)</t>
        </is>
      </c>
      <c r="D4" s="22" t="inlineStr">
        <is>
          <t>Базовая функция</t>
        </is>
      </c>
    </row>
    <row r="5">
      <c r="A5" s="22" t="inlineStr">
        <is>
          <t>Energy IoT</t>
        </is>
      </c>
      <c r="B5" s="22" t="inlineStr">
        <is>
          <t>8-12</t>
        </is>
      </c>
      <c r="C5" s="22" t="inlineStr">
        <is>
          <t>Очень высокий</t>
        </is>
      </c>
      <c r="D5" s="22" t="inlineStr">
        <is>
          <t>Самый долговечный hardware-кейс</t>
        </is>
      </c>
    </row>
    <row r="6">
      <c r="A6" s="22" t="inlineStr">
        <is>
          <t>Smart access</t>
        </is>
      </c>
      <c r="B6" s="22" t="inlineStr">
        <is>
          <t>8-12</t>
        </is>
      </c>
      <c r="C6" s="22" t="inlineStr">
        <is>
          <t>Очень высокий</t>
        </is>
      </c>
      <c r="D6" s="22" t="inlineStr">
        <is>
          <t>Зрелая инфраструктура</t>
        </is>
      </c>
    </row>
    <row r="7">
      <c r="A7" s="22" t="inlineStr">
        <is>
          <t>PMS-нейтральная оркестрация</t>
        </is>
      </c>
      <c r="B7" s="22" t="inlineStr">
        <is>
          <t>5-10</t>
        </is>
      </c>
      <c r="C7" s="22" t="inlineStr">
        <is>
          <t>Высокий</t>
        </is>
      </c>
      <c r="D7" s="22" t="inlineStr">
        <is>
          <t>Снижает зависимость от одного PMS</t>
        </is>
      </c>
    </row>
    <row r="8">
      <c r="A8" s="22" t="inlineStr">
        <is>
          <t>Smart vending / micro-market</t>
        </is>
      </c>
      <c r="B8" s="22" t="inlineStr">
        <is>
          <t>5-8</t>
        </is>
      </c>
      <c r="C8" s="22" t="inlineStr">
        <is>
          <t>Высокий</t>
        </is>
      </c>
      <c r="D8" s="22" t="inlineStr">
        <is>
          <t>Стабильный слой физической торговли</t>
        </is>
      </c>
    </row>
    <row r="9">
      <c r="A9" s="22" t="inlineStr">
        <is>
          <t>Rental-локеры</t>
        </is>
      </c>
      <c r="B9" s="22" t="inlineStr">
        <is>
          <t>5-8</t>
        </is>
      </c>
      <c r="C9" s="22" t="inlineStr">
        <is>
          <t>Высокий</t>
        </is>
      </c>
      <c r="D9" s="22" t="inlineStr">
        <is>
          <t>Подходит отелям с малым штатом</t>
        </is>
      </c>
    </row>
    <row r="10">
      <c r="A10" s="22" t="inlineStr">
        <is>
          <t>Киоски check-in</t>
        </is>
      </c>
      <c r="B10" s="22" t="inlineStr">
        <is>
          <t>4-7</t>
        </is>
      </c>
      <c r="C10" s="22" t="inlineStr">
        <is>
          <t>Средне-высокий</t>
        </is>
      </c>
      <c r="D10" s="22" t="inlineStr">
        <is>
          <t>Часть функций уйдёт на телефон</t>
        </is>
      </c>
    </row>
    <row r="11">
      <c r="A11" s="22" t="inlineStr">
        <is>
          <t>Голосовые ассистенты в номере</t>
        </is>
      </c>
      <c r="B11" s="22" t="inlineStr">
        <is>
          <t>3-6</t>
        </is>
      </c>
      <c r="C11" s="22" t="inlineStr">
        <is>
          <t>Средний</t>
        </is>
      </c>
      <c r="D11" s="22" t="inlineStr">
        <is>
          <t>Нужны приватность и доказанное использование</t>
        </is>
      </c>
    </row>
    <row r="12">
      <c r="A12" s="22" t="inlineStr">
        <is>
          <t>QR-консьерж</t>
        </is>
      </c>
      <c r="B12" s="22" t="inlineStr">
        <is>
          <t>2-4</t>
        </is>
      </c>
      <c r="C12" s="22" t="inlineStr">
        <is>
          <t>Средний</t>
        </is>
      </c>
      <c r="D12" s="22" t="inlineStr">
        <is>
          <t>Быстро коммодитизируется</t>
        </is>
      </c>
    </row>
    <row r="13">
      <c r="A13" s="22" t="inlineStr">
        <is>
          <t>Роботы-доставщики</t>
        </is>
      </c>
      <c r="B13" s="22" t="inlineStr">
        <is>
          <t>5-8</t>
        </is>
      </c>
      <c r="C13" s="22" t="inlineStr">
        <is>
          <t>Средний</t>
        </is>
      </c>
      <c r="D13" s="22" t="inlineStr">
        <is>
          <t>Только при достаточном числе доставок</t>
        </is>
      </c>
    </row>
    <row r="14">
      <c r="A14" s="22" t="inlineStr">
        <is>
          <t>Гуманоиды-встречающие</t>
        </is>
      </c>
      <c r="B14" s="22" t="inlineStr">
        <is>
          <t>1-3</t>
        </is>
      </c>
      <c r="C14" s="22" t="inlineStr">
        <is>
          <t>Низкий</t>
        </is>
      </c>
      <c r="D14" s="22" t="inlineStr">
        <is>
          <t>В основном витрина</t>
        </is>
      </c>
    </row>
    <row r="15">
      <c r="A15" s="22" t="inlineStr">
        <is>
          <t>Vape-vending</t>
        </is>
      </c>
      <c r="B15" s="22" t="inlineStr">
        <is>
          <t>2-5</t>
        </is>
      </c>
      <c r="C15" s="22" t="inlineStr">
        <is>
          <t>Низко-средний</t>
        </is>
      </c>
      <c r="D15" s="22" t="inlineStr">
        <is>
          <t>Регуляторный риск выше стратегической ценности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Примечания и ограничения</t>
        </is>
      </c>
    </row>
    <row r="2" ht="48" customHeight="1">
      <c r="A2" s="22" t="inlineStr">
        <is>
          <t>Финансовые входные данные — плановые допущения (синие ячейки), а не котировки. Landed-стоимость, цены, attach rate и постоянные расходы нужно заменить реальными данными поставщиков/отелей.</t>
        </is>
      </c>
    </row>
    <row r="3" ht="48" customHeight="1">
      <c r="A3" s="22" t="inlineStr">
        <is>
          <t>Суммы в EUR без НДС; НДС по срокам, перенос убытков, амортизация и стоимость финансирования не моделируются. Landed-стоимость hardware списывается при установке (консервативно).</t>
        </is>
      </c>
    </row>
    <row r="4" ht="48" customHeight="1">
      <c r="A4" s="22" t="inlineStr">
        <is>
          <t>Рыночные факты из чата (объёмы Лигурии, заявления вендоров, даты регуляции) получены на прежних шагах исследования и в этой сборке не перепроверялись. Перед внешней передачей сверить с первоисточниками (ISTAT/Regione Liguria, ADM, EUR-Lex, Polizia di Stato).</t>
        </is>
      </c>
    </row>
    <row r="5" ht="48" customHeight="1">
      <c r="A5" s="22" t="inlineStr">
        <is>
          <t>Лист лицензий — ориентировочный чек-лист, не юридическая консультация; подтвердить у итальянского юриста.</t>
        </is>
      </c>
    </row>
    <row r="6" ht="48" customHeight="1">
      <c r="A6" s="22" t="inlineStr">
        <is>
          <t>Горизонты долговечности трендов — экспертная оценка, не прогноз из источника данных.</t>
        </is>
      </c>
    </row>
    <row r="7" ht="48" customHeight="1">
      <c r="A7" s="22" t="inlineStr">
        <is>
          <t>Регулируемый vending по умолчанию 0% attach (только модель fee лицензированного партнёра).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2026-10-13T16:11:51Z</dcterms:created>
  <dcterms:modified xmlns:dcterms="http://purl.org/dc/terms/" xmlns:xsi="http://www.w3.org/2001/XMLSchema-instance" xsi:type="dcterms:W3CDTF">2026-10-13T16:11:51Z</dcterms:modified>
</cp:coreProperties>
</file>