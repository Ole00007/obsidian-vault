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Categories" sheetId="3" state="visible" r:id="rId3"/>
    <sheet xmlns:r="http://schemas.openxmlformats.org/officeDocument/2006/relationships" name="03_Licences" sheetId="4" state="visible" r:id="rId4"/>
    <sheet xmlns:r="http://schemas.openxmlformats.org/officeDocument/2006/relationships" name="04_Deploy" sheetId="5" state="visible" r:id="rId5"/>
    <sheet xmlns:r="http://schemas.openxmlformats.org/officeDocument/2006/relationships" name="05_P&amp;L" sheetId="6" state="visible" r:id="rId6"/>
    <sheet xmlns:r="http://schemas.openxmlformats.org/officeDocument/2006/relationships" name="06_Cashflow" sheetId="7" state="visible" r:id="rId7"/>
    <sheet xmlns:r="http://schemas.openxmlformats.org/officeDocument/2006/relationships" name="07_Risks" sheetId="8" state="visible" r:id="rId8"/>
    <sheet xmlns:r="http://schemas.openxmlformats.org/officeDocument/2006/relationships" name="08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1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55555"/>
      <sz val="10"/>
    </font>
    <font>
      <name val="Calibri"/>
      <b val="1"/>
      <color rgb="001F4E78"/>
    </font>
    <font>
      <name val="Calibri"/>
      <b val="1"/>
      <color rgb="00FFFFFF"/>
      <sz val="10"/>
    </font>
    <font>
      <name val="Calibri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</font>
    <font>
      <name val="Calibri"/>
      <b val="1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4" fillId="3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7" fillId="4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D6" authorId="0" shapeId="0">
      <text>
        <t>Base scenario</t>
      </text>
    </comment>
    <comment ref="D7" authorId="0" shapeId="0">
      <text>
        <t>Base scenario</t>
      </text>
    </comment>
    <comment ref="D8" authorId="0" shapeId="0">
      <text>
        <t>Target ICP 20–80 rooms</t>
      </text>
    </comment>
    <comment ref="D9" authorId="0" shapeId="0">
      <text>
        <t>Scenario assumption</t>
      </text>
    </comment>
    <comment ref="D10" authorId="0" shapeId="0">
      <text>
        <t>Scenario assumption</t>
      </text>
    </comment>
    <comment ref="D11" authorId="0" shapeId="0">
      <text>
        <t>Scenario assumption</t>
      </text>
    </comment>
    <comment ref="D12" authorId="0" shapeId="0">
      <text>
        <t>Scenario assumption</t>
      </text>
    </comment>
    <comment ref="D13" authorId="0" shapeId="0">
      <text>
        <t>Scenario assumption</t>
      </text>
    </comment>
    <comment ref="D14" authorId="0" shapeId="0">
      <text>
        <t>Scenario assumption</t>
      </text>
    </comment>
    <comment ref="D15" authorId="0" shapeId="0">
      <text>
        <t>Scenario assumption</t>
      </text>
    </comment>
    <comment ref="D16" authorId="0" shapeId="0">
      <text>
        <t>Scenario assumption</t>
      </text>
    </comment>
    <comment ref="D17" authorId="0" shapeId="0">
      <text>
        <t>Scenario assumption</t>
      </text>
    </comment>
    <comment ref="D18" authorId="0" shapeId="0">
      <text>
        <t>Scenario assumption</t>
      </text>
    </comment>
    <comment ref="D19" authorId="0" shapeId="0">
      <text>
        <t>Scenario assumption</t>
      </text>
    </comment>
    <comment ref="D20" authorId="0" shapeId="0">
      <text>
        <t>Scenario assumption</t>
      </text>
    </comment>
    <comment ref="D21" authorId="0" shapeId="0">
      <text>
        <t>Scenario assumption</t>
      </text>
    </comment>
    <comment ref="D22" authorId="0" shapeId="0">
      <text>
        <t>Lean FDE + sales + support</t>
      </text>
    </comment>
    <comment ref="D23" authorId="0" shapeId="0">
      <text>
        <t>Events, travel, demos</t>
      </text>
    </comment>
    <comment ref="D24" authorId="0" shapeId="0">
      <text>
        <t>Includes compliance reserve</t>
      </text>
    </comment>
    <comment ref="D25" authorId="0" shapeId="0">
      <text>
        <t>Scenario assumption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gione.liguria.it/components/com_publiccompetitions/includes/download.php?id=77345:flussi-turismo-2025.pdf" TargetMode="External" Id="rId1"/><Relationship Type="http://schemas.openxmlformats.org/officeDocument/2006/relationships/hyperlink" Target="https://www.istat.it/informazioni-sulla-rilevazione/capacita-degli-esercizi-ricettivi/" TargetMode="External" Id="rId2"/><Relationship Type="http://schemas.openxmlformats.org/officeDocument/2006/relationships/hyperlink" Target="https://single-market-economy.ec.europa.eu/sectors/electrical-and-electronic-engineering-industries-eei/radio-equipment-directive_en" TargetMode="External" Id="rId3"/><Relationship Type="http://schemas.openxmlformats.org/officeDocument/2006/relationships/hyperlink" Target="https://digital-strategy.ec.europa.eu/en/policies/cra-summary" TargetMode="External" Id="rId4"/><Relationship Type="http://schemas.openxmlformats.org/officeDocument/2006/relationships/hyperlink" Target="https://www.garanteprivacy.it/home/docweb/-/docweb-display/docweb/10244195" TargetMode="External" Id="rId5"/><Relationship Type="http://schemas.openxmlformats.org/officeDocument/2006/relationships/hyperlink" Target="https://www.adm.gov.it/portale/en/sdg/tabacchi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" t="inlineStr">
        <is>
          <t>Liguria Hospitality Agentic Hardware — Investment Pack</t>
        </is>
      </c>
      <c r="C2" s="1" t="n"/>
      <c r="D2" s="1" t="n"/>
      <c r="E2" s="1" t="n"/>
      <c r="F2" s="1" t="n"/>
      <c r="G2" s="1" t="n"/>
      <c r="H2" s="1" t="n"/>
      <c r="I2" s="1" t="n"/>
    </row>
    <row r="3" ht="30" customHeight="1">
      <c r="A3" s="1" t="n"/>
      <c r="B3" s="3" t="inlineStr">
        <is>
          <t>RU / IT / EN | Версия 1.0 | Все суммы EUR без IVA; финансовые входные данные являются сценарными допущениями, не котировками поставщиков.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Решение / Soluzione / Solution</t>
        </is>
      </c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5" t="inlineStr">
        <is>
          <t>Тема</t>
        </is>
      </c>
      <c r="C6" s="5" t="inlineStr">
        <is>
          <t>Русский</t>
        </is>
      </c>
      <c r="D6" s="5" t="inlineStr">
        <is>
          <t>Italiano</t>
        </is>
      </c>
      <c r="E6" s="5" t="inlineStr">
        <is>
          <t>English</t>
        </is>
      </c>
      <c r="F6" s="1" t="n"/>
      <c r="G6" s="1" t="n"/>
      <c r="H6" s="1" t="n"/>
      <c r="I6" s="1" t="n"/>
    </row>
    <row r="7">
      <c r="A7" s="1" t="n"/>
      <c r="B7" s="6" t="inlineStr">
        <is>
          <t>Рекомендация</t>
        </is>
      </c>
      <c r="C7" s="6" t="inlineStr">
        <is>
          <t>Начать с Hotel Agent OS + lobby GuestNode + Smart Travel Wall/locker; IoT Energy — второй модуль.</t>
        </is>
      </c>
      <c r="D7" s="6" t="inlineStr">
        <is>
          <t>Partire da Hotel Agent OS + GuestNode lobby + Smart Travel Wall/locker; IoT Energy come secondo modulo.</t>
        </is>
      </c>
      <c r="E7" s="6" t="inlineStr">
        <is>
          <t>Start with Hotel Agent OS + lobby GuestNode + Smart Travel Wall/locker; add IoT Energy second.</t>
        </is>
      </c>
      <c r="F7" s="1" t="n"/>
      <c r="G7" s="1" t="n"/>
      <c r="H7" s="1" t="n"/>
      <c r="I7" s="1" t="n"/>
    </row>
    <row r="8">
      <c r="A8" s="1" t="n"/>
      <c r="B8" s="6" t="inlineStr">
        <is>
          <t>Почему Лигурия</t>
        </is>
      </c>
      <c r="C8" s="6" t="inlineStr">
        <is>
          <t>В 2025 г.: 6,267,091 arrivals и 20,702,403 presences с AAUT; иностранный поток 3,218,375 arrivals.</t>
        </is>
      </c>
      <c r="D8" s="6" t="inlineStr">
        <is>
          <t>Nel 2025: 6.267.091 arrivi e 20.702.403 presenze incl. AAUT; 3.218.375 arrivi esteri.</t>
        </is>
      </c>
      <c r="E8" s="6" t="inlineStr">
        <is>
          <t>In 2025: 6,267,091 arrivals and 20,702,403 presences incl. AAUT; 3,218,375 foreign arrivals.</t>
        </is>
      </c>
      <c r="F8" s="1" t="n"/>
      <c r="G8" s="1" t="n"/>
      <c r="H8" s="1" t="n"/>
      <c r="I8" s="1" t="n"/>
    </row>
    <row r="9">
      <c r="A9" s="1" t="n"/>
      <c r="B9" s="6" t="inlineStr">
        <is>
          <t>Инвестиционная логика</t>
        </is>
      </c>
      <c r="C9" s="6" t="inlineStr">
        <is>
          <t>Hardware — wedge и retention; recurring margin должен идти из SaaS, service и transactions.</t>
        </is>
      </c>
      <c r="D9" s="6" t="inlineStr">
        <is>
          <t>L’hardware è wedge e retention; il margine ricorrente deve venire da SaaS, servizi e transazioni.</t>
        </is>
      </c>
      <c r="E9" s="6" t="inlineStr">
        <is>
          <t>Hardware is the wedge and retention anchor; recurring margin must come from SaaS, services and transactions.</t>
        </is>
      </c>
      <c r="F9" s="1" t="n"/>
      <c r="G9" s="1" t="n"/>
      <c r="H9" s="1" t="n"/>
      <c r="I9" s="1" t="n"/>
    </row>
    <row r="10">
      <c r="A10" s="1" t="n"/>
      <c r="B10" s="6" t="inlineStr">
        <is>
          <t>Не запускать сначала</t>
        </is>
      </c>
      <c r="C10" s="6" t="inlineStr">
        <is>
          <t>Роботы и vape vending: высокий CAPEX/регуляторная неопределённость.</t>
        </is>
      </c>
      <c r="D10" s="6" t="inlineStr">
        <is>
          <t>Non avviare per primi robot e vape vending: CAPEX/rischio normativo elevati.</t>
        </is>
      </c>
      <c r="E10" s="6" t="inlineStr">
        <is>
          <t>Do not lead with robots or vape vending: high CAPEX/regulatory risk.</t>
        </is>
      </c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>
      <c r="A13" s="1" t="n"/>
      <c r="B13" s="4" t="inlineStr">
        <is>
          <t>Ключевые выводы модели / Conclusioni / Key model outputs</t>
        </is>
      </c>
      <c r="C13" s="1" t="n"/>
      <c r="D13" s="1" t="n"/>
      <c r="E13" s="1" t="n"/>
      <c r="F13" s="1" t="n"/>
      <c r="G13" s="1" t="n"/>
      <c r="H13" s="1" t="n"/>
      <c r="I13" s="1" t="n"/>
    </row>
    <row r="14">
      <c r="A14" s="1" t="n"/>
      <c r="B14" s="5" t="inlineStr">
        <is>
          <t>Метрика</t>
        </is>
      </c>
      <c r="C14" s="5" t="inlineStr">
        <is>
          <t>Формула</t>
        </is>
      </c>
      <c r="D14" s="5" t="inlineStr">
        <is>
          <t>Комментарий</t>
        </is>
      </c>
      <c r="E14" s="1" t="n"/>
      <c r="F14" s="1" t="n"/>
      <c r="G14" s="1" t="n"/>
      <c r="H14" s="1" t="n"/>
      <c r="I14" s="1" t="n"/>
    </row>
    <row r="15">
      <c r="A15" s="1" t="n"/>
      <c r="B15" s="6" t="inlineStr">
        <is>
          <t>Base: cash funding need</t>
        </is>
      </c>
      <c r="C15" s="7">
        <f>"€ "&amp;TEXT(MAX(0,-MIN('06_Cashflow'!B31:Y31)),"#,##0")</f>
        <v/>
      </c>
      <c r="D15" s="6" t="inlineStr">
        <is>
          <t>Сценарий Base, 24 месяца / Scenario Base, 24 mesi / Base scenario, 24 months</t>
        </is>
      </c>
      <c r="E15" s="1" t="n"/>
      <c r="F15" s="1" t="n"/>
      <c r="G15" s="1" t="n"/>
      <c r="H15" s="1" t="n"/>
      <c r="I15" s="1" t="n"/>
    </row>
    <row r="16">
      <c r="A16" s="1" t="n"/>
      <c r="B16" s="6" t="inlineStr">
        <is>
          <t>Year 1 revenue</t>
        </is>
      </c>
      <c r="C16" s="7">
        <f>"€ "&amp;TEXT('05_P&amp;L'!C21,"#,##0")</f>
        <v/>
      </c>
      <c r="D16" s="6" t="inlineStr">
        <is>
          <t>Выручка / Ricavi / Revenue</t>
        </is>
      </c>
      <c r="E16" s="1" t="n"/>
      <c r="F16" s="1" t="n"/>
      <c r="G16" s="1" t="n"/>
      <c r="H16" s="1" t="n"/>
      <c r="I16" s="1" t="n"/>
    </row>
    <row r="17">
      <c r="A17" s="1" t="n"/>
      <c r="B17" s="6" t="inlineStr">
        <is>
          <t>Year 2 revenue</t>
        </is>
      </c>
      <c r="C17" s="7">
        <f>"€ "&amp;TEXT('05_P&amp;L'!D21,"#,##0")</f>
        <v/>
      </c>
      <c r="D17" s="6" t="inlineStr">
        <is>
          <t>Выручка / Ricavi / Revenue</t>
        </is>
      </c>
      <c r="E17" s="1" t="n"/>
      <c r="F17" s="1" t="n"/>
      <c r="G17" s="1" t="n"/>
      <c r="H17" s="1" t="n"/>
      <c r="I17" s="1" t="n"/>
    </row>
    <row r="18">
      <c r="A18" s="1" t="n"/>
      <c r="B18" s="6" t="inlineStr">
        <is>
          <t>Year 2 EBITDA</t>
        </is>
      </c>
      <c r="C18" s="7">
        <f>"€ "&amp;TEXT('05_P&amp;L'!D34,"#,##0")</f>
        <v/>
      </c>
      <c r="D18" s="6" t="inlineStr">
        <is>
          <t>До амортизации; pre-ammortamenti; pre-depreciation</t>
        </is>
      </c>
      <c r="E18" s="1" t="n"/>
      <c r="F18" s="1" t="n"/>
      <c r="G18" s="1" t="n"/>
      <c r="H18" s="1" t="n"/>
      <c r="I18" s="1" t="n"/>
    </row>
    <row r="19">
      <c r="A19" s="1" t="n"/>
      <c r="B19" s="6" t="inlineStr">
        <is>
          <t>Month EBITDA positive</t>
        </is>
      </c>
      <c r="C19" s="7">
        <f>MATCH(TRUE,'05_P&amp;L'!C34:Z34&gt;0,0)</f>
        <v/>
      </c>
      <c r="D19" s="6" t="inlineStr">
        <is>
          <t>Месяц в модели / mese nel modello / month in model</t>
        </is>
      </c>
      <c r="E19" s="1" t="n"/>
      <c r="F19" s="1" t="n"/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8" t="inlineStr">
        <is>
          <t>Источник рынка: Regione Liguria, Turismo in Liguria — anno 2025; Istat capacity data are published at municipal level. Regulatory sources: European Commission CRA/RED, Garante Privacy.</t>
        </is>
      </c>
      <c r="C22" s="1" t="n"/>
      <c r="D22" s="1" t="n"/>
      <c r="E22" s="1" t="n"/>
      <c r="F22" s="1" t="n"/>
      <c r="G22" s="1" t="n"/>
      <c r="H22" s="1" t="n"/>
      <c r="I22" s="1" t="n"/>
    </row>
  </sheetData>
  <mergeCells count="5">
    <mergeCell ref="B13:I13"/>
    <mergeCell ref="B2:I2"/>
    <mergeCell ref="B3:I3"/>
    <mergeCell ref="B22:I22"/>
    <mergeCell ref="B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26" customHeight="1">
      <c r="A2" s="1" t="n"/>
      <c r="B2" s="2" t="inlineStr">
        <is>
          <t>Допущения / Assunzioni / Assumptions</t>
        </is>
      </c>
      <c r="C2" s="1" t="n"/>
      <c r="D2" s="1" t="n"/>
      <c r="E2" s="1" t="n"/>
      <c r="F2" s="1" t="n"/>
      <c r="G2" s="1" t="n"/>
    </row>
    <row r="3" ht="30" customHeight="1">
      <c r="A3" s="1" t="n"/>
      <c r="B3" s="3" t="inlineStr">
        <is>
          <t>Жёлтые ячейки — изменяемые входные данные. Синие цифры — hardcoded scenario assumptions, не vendor quotes.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5" t="inlineStr">
        <is>
          <t>Группа / Gruppo / Group</t>
        </is>
      </c>
      <c r="C5" s="5" t="inlineStr">
        <is>
          <t>Параметр / Parametro / Parameter</t>
        </is>
      </c>
      <c r="D5" s="5" t="inlineStr">
        <is>
          <t>Base</t>
        </is>
      </c>
      <c r="E5" s="5" t="inlineStr">
        <is>
          <t>Ед. / U.M. / Unit</t>
        </is>
      </c>
      <c r="F5" s="5" t="inlineStr">
        <is>
          <t>Комментарий / Comment</t>
        </is>
      </c>
      <c r="G5" s="1" t="n"/>
    </row>
    <row r="6">
      <c r="A6" s="1" t="n"/>
      <c r="B6" s="6" t="inlineStr">
        <is>
          <t>Operating model</t>
        </is>
      </c>
      <c r="C6" s="6" t="inlineStr">
        <is>
          <t>Pilot hotels Y1</t>
        </is>
      </c>
      <c r="D6" s="9" t="n">
        <v>12</v>
      </c>
      <c r="E6" s="6" t="inlineStr">
        <is>
          <t>properties</t>
        </is>
      </c>
      <c r="F6" s="6" t="inlineStr">
        <is>
          <t>Base scenario</t>
        </is>
      </c>
      <c r="G6" s="1" t="n"/>
    </row>
    <row r="7">
      <c r="A7" s="1" t="n"/>
      <c r="B7" s="6" t="inlineStr">
        <is>
          <t>Operating model</t>
        </is>
      </c>
      <c r="C7" s="6" t="inlineStr">
        <is>
          <t>Hotels at end Y2</t>
        </is>
      </c>
      <c r="D7" s="9" t="n">
        <v>45</v>
      </c>
      <c r="E7" s="6" t="inlineStr">
        <is>
          <t>properties</t>
        </is>
      </c>
      <c r="F7" s="6" t="inlineStr">
        <is>
          <t>Base scenario</t>
        </is>
      </c>
      <c r="G7" s="1" t="n"/>
    </row>
    <row r="8">
      <c r="A8" s="1" t="n"/>
      <c r="B8" s="6" t="inlineStr">
        <is>
          <t>Operating model</t>
        </is>
      </c>
      <c r="C8" s="6" t="inlineStr">
        <is>
          <t>Average rooms/property</t>
        </is>
      </c>
      <c r="D8" s="9" t="n">
        <v>35</v>
      </c>
      <c r="E8" s="6" t="inlineStr">
        <is>
          <t>rooms</t>
        </is>
      </c>
      <c r="F8" s="6" t="inlineStr">
        <is>
          <t>Target ICP 20–80 rooms</t>
        </is>
      </c>
      <c r="G8" s="1" t="n"/>
    </row>
    <row r="9">
      <c r="A9" s="1" t="n"/>
      <c r="B9" s="6" t="inlineStr">
        <is>
          <t>Pricing</t>
        </is>
      </c>
      <c r="C9" s="6" t="inlineStr">
        <is>
          <t>Agent OS setup fee</t>
        </is>
      </c>
      <c r="D9" s="9" t="n">
        <v>1800</v>
      </c>
      <c r="E9" s="6" t="inlineStr">
        <is>
          <t>EUR/property</t>
        </is>
      </c>
      <c r="F9" s="6" t="inlineStr">
        <is>
          <t>Scenario assumption</t>
        </is>
      </c>
      <c r="G9" s="1" t="n"/>
    </row>
    <row r="10">
      <c r="A10" s="1" t="n"/>
      <c r="B10" s="6" t="inlineStr">
        <is>
          <t>Pricing</t>
        </is>
      </c>
      <c r="C10" s="6" t="inlineStr">
        <is>
          <t>Agent OS monthly</t>
        </is>
      </c>
      <c r="D10" s="9" t="n">
        <v>390</v>
      </c>
      <c r="E10" s="6" t="inlineStr">
        <is>
          <t>EUR/property/month</t>
        </is>
      </c>
      <c r="F10" s="6" t="inlineStr">
        <is>
          <t>Scenario assumption</t>
        </is>
      </c>
      <c r="G10" s="1" t="n"/>
    </row>
    <row r="11">
      <c r="A11" s="1" t="n"/>
      <c r="B11" s="6" t="inlineStr">
        <is>
          <t>Pricing</t>
        </is>
      </c>
      <c r="C11" s="6" t="inlineStr">
        <is>
          <t>GuestNode monthly</t>
        </is>
      </c>
      <c r="D11" s="9" t="n">
        <v>95</v>
      </c>
      <c r="E11" s="6" t="inlineStr">
        <is>
          <t>EUR/device/month</t>
        </is>
      </c>
      <c r="F11" s="6" t="inlineStr">
        <is>
          <t>Scenario assumption</t>
        </is>
      </c>
      <c r="G11" s="1" t="n"/>
    </row>
    <row r="12">
      <c r="A12" s="1" t="n"/>
      <c r="B12" s="6" t="inlineStr">
        <is>
          <t>Pricing</t>
        </is>
      </c>
      <c r="C12" s="6" t="inlineStr">
        <is>
          <t>Travel Wall monthly</t>
        </is>
      </c>
      <c r="D12" s="9" t="n">
        <v>180</v>
      </c>
      <c r="E12" s="6" t="inlineStr">
        <is>
          <t>EUR/property/month</t>
        </is>
      </c>
      <c r="F12" s="6" t="inlineStr">
        <is>
          <t>Scenario assumption</t>
        </is>
      </c>
      <c r="G12" s="1" t="n"/>
    </row>
    <row r="13">
      <c r="A13" s="1" t="n"/>
      <c r="B13" s="6" t="inlineStr">
        <is>
          <t>Pricing</t>
        </is>
      </c>
      <c r="C13" s="6" t="inlineStr">
        <is>
          <t>IoT Energy monthly</t>
        </is>
      </c>
      <c r="D13" s="9" t="n">
        <v>4.5</v>
      </c>
      <c r="E13" s="6" t="inlineStr">
        <is>
          <t>EUR/room/month</t>
        </is>
      </c>
      <c r="F13" s="6" t="inlineStr">
        <is>
          <t>Scenario assumption</t>
        </is>
      </c>
      <c r="G13" s="1" t="n"/>
    </row>
    <row r="14">
      <c r="A14" s="1" t="n"/>
      <c r="B14" s="6" t="inlineStr">
        <is>
          <t>Hardware deployed</t>
        </is>
      </c>
      <c r="C14" s="6" t="inlineStr">
        <is>
          <t>GuestNode landed + install</t>
        </is>
      </c>
      <c r="D14" s="9" t="n">
        <v>620</v>
      </c>
      <c r="E14" s="6" t="inlineStr">
        <is>
          <t>EUR/device</t>
        </is>
      </c>
      <c r="F14" s="6" t="inlineStr">
        <is>
          <t>Scenario assumption</t>
        </is>
      </c>
      <c r="G14" s="1" t="n"/>
    </row>
    <row r="15">
      <c r="A15" s="1" t="n"/>
      <c r="B15" s="6" t="inlineStr">
        <is>
          <t>Hardware deployed</t>
        </is>
      </c>
      <c r="C15" s="6" t="inlineStr">
        <is>
          <t>Travel Wall landed + install</t>
        </is>
      </c>
      <c r="D15" s="9" t="n">
        <v>4200</v>
      </c>
      <c r="E15" s="6" t="inlineStr">
        <is>
          <t>EUR/unit</t>
        </is>
      </c>
      <c r="F15" s="6" t="inlineStr">
        <is>
          <t>Scenario assumption</t>
        </is>
      </c>
      <c r="G15" s="1" t="n"/>
    </row>
    <row r="16">
      <c r="A16" s="1" t="n"/>
      <c r="B16" s="6" t="inlineStr">
        <is>
          <t>Hardware deployed</t>
        </is>
      </c>
      <c r="C16" s="6" t="inlineStr">
        <is>
          <t>IoT Energy kit/room landed+install</t>
        </is>
      </c>
      <c r="D16" s="9" t="n">
        <v>155</v>
      </c>
      <c r="E16" s="6" t="inlineStr">
        <is>
          <t>EUR/room</t>
        </is>
      </c>
      <c r="F16" s="6" t="inlineStr">
        <is>
          <t>Scenario assumption</t>
        </is>
      </c>
      <c r="G16" s="1" t="n"/>
    </row>
    <row r="17">
      <c r="A17" s="1" t="n"/>
      <c r="B17" s="6" t="inlineStr">
        <is>
          <t>Unit economics</t>
        </is>
      </c>
      <c r="C17" s="6" t="inlineStr">
        <is>
          <t>Transaction gross margin/property/month</t>
        </is>
      </c>
      <c r="D17" s="9" t="n">
        <v>110</v>
      </c>
      <c r="E17" s="6" t="inlineStr">
        <is>
          <t>EUR/property/month</t>
        </is>
      </c>
      <c r="F17" s="6" t="inlineStr">
        <is>
          <t>Scenario assumption</t>
        </is>
      </c>
      <c r="G17" s="1" t="n"/>
    </row>
    <row r="18">
      <c r="A18" s="1" t="n"/>
      <c r="B18" s="6" t="inlineStr">
        <is>
          <t>Unit economics</t>
        </is>
      </c>
      <c r="C18" s="6" t="inlineStr">
        <is>
          <t>Cloud/LLM/support variable/property/month</t>
        </is>
      </c>
      <c r="D18" s="9" t="n">
        <v>95</v>
      </c>
      <c r="E18" s="6" t="inlineStr">
        <is>
          <t>EUR/property/month</t>
        </is>
      </c>
      <c r="F18" s="6" t="inlineStr">
        <is>
          <t>Scenario assumption</t>
        </is>
      </c>
      <c r="G18" s="1" t="n"/>
    </row>
    <row r="19">
      <c r="A19" s="1" t="n"/>
      <c r="B19" s="6" t="inlineStr">
        <is>
          <t>Unit economics</t>
        </is>
      </c>
      <c r="C19" s="6" t="inlineStr">
        <is>
          <t>Hardware replacement reserve</t>
        </is>
      </c>
      <c r="D19" s="9" t="n">
        <v>0.05</v>
      </c>
      <c r="E19" s="6" t="inlineStr">
        <is>
          <t>% of hardware deployed</t>
        </is>
      </c>
      <c r="F19" s="6" t="inlineStr">
        <is>
          <t>Scenario assumption</t>
        </is>
      </c>
      <c r="G19" s="1" t="n"/>
    </row>
    <row r="20">
      <c r="A20" s="1" t="n"/>
      <c r="B20" s="6" t="inlineStr">
        <is>
          <t>Working capital</t>
        </is>
      </c>
      <c r="C20" s="6" t="inlineStr">
        <is>
          <t>Customer payment upfront</t>
        </is>
      </c>
      <c r="D20" s="9" t="n">
        <v>0.5</v>
      </c>
      <c r="E20" s="6" t="inlineStr">
        <is>
          <t>% of setup/hardware</t>
        </is>
      </c>
      <c r="F20" s="6" t="inlineStr">
        <is>
          <t>Scenario assumption</t>
        </is>
      </c>
      <c r="G20" s="1" t="n"/>
    </row>
    <row r="21">
      <c r="A21" s="1" t="n"/>
      <c r="B21" s="6" t="inlineStr">
        <is>
          <t>Working capital</t>
        </is>
      </c>
      <c r="C21" s="6" t="inlineStr">
        <is>
          <t>Supplier deposit</t>
        </is>
      </c>
      <c r="D21" s="9" t="n">
        <v>0.3</v>
      </c>
      <c r="E21" s="6" t="inlineStr">
        <is>
          <t>% of hardware PO</t>
        </is>
      </c>
      <c r="F21" s="6" t="inlineStr">
        <is>
          <t>Scenario assumption</t>
        </is>
      </c>
      <c r="G21" s="1" t="n"/>
    </row>
    <row r="22">
      <c r="A22" s="1" t="n"/>
      <c r="B22" s="6" t="inlineStr">
        <is>
          <t>Fixed OPEX</t>
        </is>
      </c>
      <c r="C22" s="6" t="inlineStr">
        <is>
          <t>Monthly payroll &amp; contractors Y1</t>
        </is>
      </c>
      <c r="D22" s="9" t="n">
        <v>8500</v>
      </c>
      <c r="E22" s="6" t="inlineStr">
        <is>
          <t>EUR/month</t>
        </is>
      </c>
      <c r="F22" s="6" t="inlineStr">
        <is>
          <t>Lean FDE + sales + support</t>
        </is>
      </c>
      <c r="G22" s="1" t="n"/>
    </row>
    <row r="23">
      <c r="A23" s="1" t="n"/>
      <c r="B23" s="6" t="inlineStr">
        <is>
          <t>Fixed OPEX</t>
        </is>
      </c>
      <c r="C23" s="6" t="inlineStr">
        <is>
          <t>Monthly sales/marketing Y1</t>
        </is>
      </c>
      <c r="D23" s="9" t="n">
        <v>2200</v>
      </c>
      <c r="E23" s="6" t="inlineStr">
        <is>
          <t>EUR/month</t>
        </is>
      </c>
      <c r="F23" s="6" t="inlineStr">
        <is>
          <t>Events, travel, demos</t>
        </is>
      </c>
      <c r="G23" s="1" t="n"/>
    </row>
    <row r="24">
      <c r="A24" s="1" t="n"/>
      <c r="B24" s="6" t="inlineStr">
        <is>
          <t>Fixed OPEX</t>
        </is>
      </c>
      <c r="C24" s="6" t="inlineStr">
        <is>
          <t>Monthly G&amp;A/legal/insurance Y1</t>
        </is>
      </c>
      <c r="D24" s="9" t="n">
        <v>1800</v>
      </c>
      <c r="E24" s="6" t="inlineStr">
        <is>
          <t>EUR/month</t>
        </is>
      </c>
      <c r="F24" s="6" t="inlineStr">
        <is>
          <t>Includes compliance reserve</t>
        </is>
      </c>
      <c r="G24" s="1" t="n"/>
    </row>
    <row r="25">
      <c r="A25" s="1" t="n"/>
      <c r="B25" s="6" t="inlineStr">
        <is>
          <t>Fixed OPEX</t>
        </is>
      </c>
      <c r="C25" s="6" t="inlineStr">
        <is>
          <t>Monthly OPEX growth Y2</t>
        </is>
      </c>
      <c r="D25" s="9" t="n">
        <v>0.18</v>
      </c>
      <c r="E25" s="6" t="inlineStr">
        <is>
          <t>%</t>
        </is>
      </c>
      <c r="F25" s="6" t="inlineStr">
        <is>
          <t>Scenario assumption</t>
        </is>
      </c>
      <c r="G25" s="1" t="n"/>
    </row>
  </sheetData>
  <mergeCells count="2">
    <mergeCell ref="B3:G3"/>
    <mergeCell ref="B2:G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2" t="inlineStr">
        <is>
          <t>Категории / Categorie / Categories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3" t="inlineStr">
        <is>
          <t>Рейтинг: 1 = запускать; 5 = не запускать в первом цикле. CAPEX приведён как модельное допущение.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5" t="inlineStr">
        <is>
          <t>Категория</t>
        </is>
      </c>
      <c r="C5" s="5" t="inlineStr">
        <is>
          <t>Формат</t>
        </is>
      </c>
      <c r="D5" s="5" t="inlineStr">
        <is>
          <t>Доход</t>
        </is>
      </c>
      <c r="E5" s="5" t="inlineStr">
        <is>
          <t>CAPEX риск</t>
        </is>
      </c>
      <c r="F5" s="5" t="inlineStr">
        <is>
          <t>Regulatory риск</t>
        </is>
      </c>
      <c r="G5" s="5" t="inlineStr">
        <is>
          <t>Приоритет</t>
        </is>
      </c>
      <c r="H5" s="5" t="inlineStr">
        <is>
          <t>Стартовая оценка</t>
        </is>
      </c>
      <c r="I5" s="5" t="inlineStr">
        <is>
          <t>Долговечность</t>
        </is>
      </c>
      <c r="J5" s="5" t="inlineStr">
        <is>
          <t>Решение</t>
        </is>
      </c>
    </row>
    <row r="6">
      <c r="A6" s="1" t="n"/>
      <c r="B6" s="6" t="inlineStr">
        <is>
          <t>Hotel Agent OS</t>
        </is>
      </c>
      <c r="C6" s="6" t="inlineStr">
        <is>
          <t>SaaS/FDE</t>
        </is>
      </c>
      <c r="D6" s="6" t="inlineStr">
        <is>
          <t>Setup + monthly SaaS</t>
        </is>
      </c>
      <c r="E6" s="6" t="inlineStr">
        <is>
          <t>Low</t>
        </is>
      </c>
      <c r="F6" s="6" t="inlineStr">
        <is>
          <t>High</t>
        </is>
      </c>
      <c r="G6" s="6" t="inlineStr">
        <is>
          <t>1</t>
        </is>
      </c>
      <c r="H6" s="6" t="inlineStr">
        <is>
          <t>€ 1,800 setup; €390/mo</t>
        </is>
      </c>
      <c r="I6" s="6" t="inlineStr">
        <is>
          <t>Long</t>
        </is>
      </c>
      <c r="J6" s="6" t="inlineStr">
        <is>
          <t>Core</t>
        </is>
      </c>
    </row>
    <row r="7">
      <c r="A7" s="1" t="n"/>
      <c r="B7" s="6" t="inlineStr">
        <is>
          <t>Lobby GuestNode</t>
        </is>
      </c>
      <c r="C7" s="6" t="inlineStr">
        <is>
          <t>tablet/voice endpoint</t>
        </is>
      </c>
      <c r="D7" s="6" t="inlineStr">
        <is>
          <t>Lease + SaaS</t>
        </is>
      </c>
      <c r="E7" s="6" t="inlineStr">
        <is>
          <t>Medium</t>
        </is>
      </c>
      <c r="F7" s="6" t="inlineStr">
        <is>
          <t>Medium</t>
        </is>
      </c>
      <c r="G7" s="6" t="inlineStr">
        <is>
          <t>1</t>
        </is>
      </c>
      <c r="H7" s="6" t="inlineStr">
        <is>
          <t>€620 deployed</t>
        </is>
      </c>
      <c r="I7" s="6" t="inlineStr">
        <is>
          <t>Medium</t>
        </is>
      </c>
      <c r="J7" s="6" t="inlineStr">
        <is>
          <t>Pilot 1/property</t>
        </is>
      </c>
    </row>
    <row r="8">
      <c r="A8" s="1" t="n"/>
      <c r="B8" s="6" t="inlineStr">
        <is>
          <t>Smart Travel Wall</t>
        </is>
      </c>
      <c r="C8" s="6" t="inlineStr">
        <is>
          <t>vending/locker</t>
        </is>
      </c>
      <c r="D8" s="6" t="inlineStr">
        <is>
          <t>SaaS + retail/commission</t>
        </is>
      </c>
      <c r="E8" s="6" t="inlineStr">
        <is>
          <t>Medium</t>
        </is>
      </c>
      <c r="F8" s="6" t="inlineStr">
        <is>
          <t>Medium</t>
        </is>
      </c>
      <c r="G8" s="6" t="inlineStr">
        <is>
          <t>1</t>
        </is>
      </c>
      <c r="H8" s="6" t="inlineStr">
        <is>
          <t>€4,200 deployed</t>
        </is>
      </c>
      <c r="I8" s="6" t="inlineStr">
        <is>
          <t>Long</t>
        </is>
      </c>
      <c r="J8" s="6" t="inlineStr">
        <is>
          <t>Use essentials/rentals</t>
        </is>
      </c>
    </row>
    <row r="9">
      <c r="A9" s="1" t="n"/>
      <c r="B9" s="6" t="inlineStr">
        <is>
          <t>IoT Energy Kit</t>
        </is>
      </c>
      <c r="C9" s="6" t="inlineStr">
        <is>
          <t>sensors/controls</t>
        </is>
      </c>
      <c r="D9" s="6" t="inlineStr">
        <is>
          <t>SaaS + hardware</t>
        </is>
      </c>
      <c r="E9" s="6" t="inlineStr">
        <is>
          <t>Medium</t>
        </is>
      </c>
      <c r="F9" s="6" t="inlineStr">
        <is>
          <t>Medium</t>
        </is>
      </c>
      <c r="G9" s="6" t="inlineStr">
        <is>
          <t>1</t>
        </is>
      </c>
      <c r="H9" s="6" t="inlineStr">
        <is>
          <t>€155/room</t>
        </is>
      </c>
      <c r="I9" s="6" t="inlineStr">
        <is>
          <t>Very long</t>
        </is>
      </c>
      <c r="J9" s="6" t="inlineStr">
        <is>
          <t>Measured saving required</t>
        </is>
      </c>
    </row>
    <row r="10">
      <c r="A10" s="1" t="n"/>
      <c r="B10" s="6" t="inlineStr">
        <is>
          <t>Rental/Luggage Lockers</t>
        </is>
      </c>
      <c r="C10" s="6" t="inlineStr">
        <is>
          <t>lockers</t>
        </is>
      </c>
      <c r="D10" s="6" t="inlineStr">
        <is>
          <t>Rental + SaaS</t>
        </is>
      </c>
      <c r="E10" s="6" t="inlineStr">
        <is>
          <t>Medium</t>
        </is>
      </c>
      <c r="F10" s="6" t="inlineStr">
        <is>
          <t>Low</t>
        </is>
      </c>
      <c r="G10" s="6" t="inlineStr">
        <is>
          <t>2</t>
        </is>
      </c>
      <c r="H10" s="6" t="inlineStr">
        <is>
          <t>€3,500–€6,000 deployed</t>
        </is>
      </c>
      <c r="I10" s="6" t="inlineStr">
        <is>
          <t>Long</t>
        </is>
      </c>
      <c r="J10" s="6" t="inlineStr">
        <is>
          <t>Tourist clusters</t>
        </is>
      </c>
    </row>
    <row r="11">
      <c r="A11" s="1" t="n"/>
      <c r="B11" s="6" t="inlineStr">
        <is>
          <t>Smart Access</t>
        </is>
      </c>
      <c r="C11" s="6" t="inlineStr">
        <is>
          <t>locks/access</t>
        </is>
      </c>
      <c r="D11" s="6" t="inlineStr">
        <is>
          <t>Hardware + SaaS</t>
        </is>
      </c>
      <c r="E11" s="6" t="inlineStr">
        <is>
          <t>Medium</t>
        </is>
      </c>
      <c r="F11" s="6" t="inlineStr">
        <is>
          <t>High</t>
        </is>
      </c>
      <c r="G11" s="6" t="inlineStr">
        <is>
          <t>2</t>
        </is>
      </c>
      <c r="H11" s="6" t="inlineStr">
        <is>
          <t>Case-by-case</t>
        </is>
      </c>
      <c r="I11" s="6" t="inlineStr">
        <is>
          <t>Very long</t>
        </is>
      </c>
      <c r="J11" s="6" t="inlineStr">
        <is>
          <t>Partner locksmith</t>
        </is>
      </c>
    </row>
    <row r="12">
      <c r="A12" s="1" t="n"/>
      <c r="B12" s="6" t="inlineStr">
        <is>
          <t>Check-in/ID Kiosk</t>
        </is>
      </c>
      <c r="C12" s="6" t="inlineStr">
        <is>
          <t>kiosk/scanner</t>
        </is>
      </c>
      <c r="D12" s="6" t="inlineStr">
        <is>
          <t>Lease + setup</t>
        </is>
      </c>
      <c r="E12" s="6" t="inlineStr">
        <is>
          <t>High</t>
        </is>
      </c>
      <c r="F12" s="6" t="inlineStr">
        <is>
          <t>High</t>
        </is>
      </c>
      <c r="G12" s="6" t="inlineStr">
        <is>
          <t>3</t>
        </is>
      </c>
      <c r="H12" s="6" t="inlineStr">
        <is>
          <t>€6,000–€12,000</t>
        </is>
      </c>
      <c r="I12" s="6" t="inlineStr">
        <is>
          <t>Medium</t>
        </is>
      </c>
      <c r="J12" s="6" t="inlineStr">
        <is>
          <t>Compliance-first</t>
        </is>
      </c>
    </row>
    <row r="13">
      <c r="A13" s="1" t="n"/>
      <c r="B13" s="6" t="inlineStr">
        <is>
          <t>Cleaning robot</t>
        </is>
      </c>
      <c r="C13" s="6" t="inlineStr">
        <is>
          <t>robot</t>
        </is>
      </c>
      <c r="D13" s="6" t="inlineStr">
        <is>
          <t>Lease/service</t>
        </is>
      </c>
      <c r="E13" s="6" t="inlineStr">
        <is>
          <t>High</t>
        </is>
      </c>
      <c r="F13" s="6" t="inlineStr">
        <is>
          <t>Medium</t>
        </is>
      </c>
      <c r="G13" s="6" t="inlineStr">
        <is>
          <t>3</t>
        </is>
      </c>
      <c r="H13" s="6" t="inlineStr">
        <is>
          <t>€12,000–€25,000</t>
        </is>
      </c>
      <c r="I13" s="6" t="inlineStr">
        <is>
          <t>Medium</t>
        </is>
      </c>
      <c r="J13" s="6" t="inlineStr">
        <is>
          <t>Only high-volume</t>
        </is>
      </c>
    </row>
    <row r="14">
      <c r="A14" s="1" t="n"/>
      <c r="B14" s="6" t="inlineStr">
        <is>
          <t>Delivery robot</t>
        </is>
      </c>
      <c r="C14" s="6" t="inlineStr">
        <is>
          <t>robot</t>
        </is>
      </c>
      <c r="D14" s="6" t="inlineStr">
        <is>
          <t>Lease/service</t>
        </is>
      </c>
      <c r="E14" s="6" t="inlineStr">
        <is>
          <t>High</t>
        </is>
      </c>
      <c r="F14" s="6" t="inlineStr">
        <is>
          <t>Medium</t>
        </is>
      </c>
      <c r="G14" s="6" t="inlineStr">
        <is>
          <t>4</t>
        </is>
      </c>
      <c r="H14" s="6" t="inlineStr">
        <is>
          <t>€18,000–€35,000</t>
        </is>
      </c>
      <c r="I14" s="6" t="inlineStr">
        <is>
          <t>Medium</t>
        </is>
      </c>
      <c r="J14" s="6" t="inlineStr">
        <is>
          <t>API first, buy later</t>
        </is>
      </c>
    </row>
    <row r="15">
      <c r="A15" s="1" t="n"/>
      <c r="B15" s="6" t="inlineStr">
        <is>
          <t>Vape vending</t>
        </is>
      </c>
      <c r="C15" s="6" t="inlineStr">
        <is>
          <t>regulated vending</t>
        </is>
      </c>
      <c r="D15" s="6" t="inlineStr">
        <is>
          <t>Margin/operator fee</t>
        </is>
      </c>
      <c r="E15" s="6" t="inlineStr">
        <is>
          <t>Medium</t>
        </is>
      </c>
      <c r="F15" s="6" t="inlineStr">
        <is>
          <t>Very high</t>
        </is>
      </c>
      <c r="G15" s="6" t="inlineStr">
        <is>
          <t>5</t>
        </is>
      </c>
      <c r="H15" s="6" t="inlineStr">
        <is>
          <t>Legal-led</t>
        </is>
      </c>
      <c r="I15" s="6" t="inlineStr">
        <is>
          <t>Uncertain</t>
        </is>
      </c>
      <c r="J15" s="6" t="inlineStr">
        <is>
          <t>Licensed operator only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" t="inlineStr">
        <is>
          <t>Лицензии и compliance / Licenze e compliance / Licences &amp; compliance</t>
        </is>
      </c>
      <c r="C2" s="1" t="n"/>
      <c r="D2" s="1" t="n"/>
      <c r="E2" s="1" t="n"/>
      <c r="F2" s="1" t="n"/>
      <c r="G2" s="1" t="n"/>
      <c r="H2" s="1" t="n"/>
      <c r="I2" s="1" t="n"/>
    </row>
    <row r="3" ht="30" customHeight="1">
      <c r="A3" s="1" t="n"/>
      <c r="B3" s="3" t="inlineStr">
        <is>
          <t>Это рабочая карта, не юридическое заключение. До запуска нужна проверка итальянским avvocato/commercialista.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5" t="inlineStr">
        <is>
          <t>Категория</t>
        </is>
      </c>
      <c r="C5" s="5" t="inlineStr">
        <is>
          <t>Требование</t>
        </is>
      </c>
      <c r="D5" s="5" t="inlineStr">
        <is>
          <t>Норма/орган</t>
        </is>
      </c>
      <c r="E5" s="5" t="inlineStr">
        <is>
          <t>Практическая мера</t>
        </is>
      </c>
      <c r="F5" s="5" t="inlineStr">
        <is>
          <t>Статус</t>
        </is>
      </c>
      <c r="G5" s="1" t="n"/>
      <c r="H5" s="1" t="n"/>
      <c r="I5" s="1" t="n"/>
    </row>
    <row r="6">
      <c r="A6" s="1" t="n"/>
      <c r="B6" s="6" t="inlineStr">
        <is>
          <t>Agentic SaaS</t>
        </is>
      </c>
      <c r="C6" s="6" t="inlineStr">
        <is>
          <t>GDPR, DPA, security, records of processing</t>
        </is>
      </c>
      <c r="D6" s="6" t="inlineStr">
        <is>
          <t>GDPR; contracts</t>
        </is>
      </c>
      <c r="E6" s="6" t="inlineStr">
        <is>
          <t>EU hosting, data minimisation, audit logs</t>
        </is>
      </c>
      <c r="F6" s="6" t="inlineStr">
        <is>
          <t>Must-have</t>
        </is>
      </c>
      <c r="G6" s="1" t="n"/>
      <c r="H6" s="1" t="n"/>
      <c r="I6" s="1" t="n"/>
    </row>
    <row r="7">
      <c r="A7" s="1" t="n"/>
      <c r="B7" s="6" t="inlineStr">
        <is>
          <t>Guest ID / check-in</t>
        </is>
      </c>
      <c r="C7" s="6" t="inlineStr">
        <is>
          <t>Alloggiati Web; identity data handling</t>
        </is>
      </c>
      <c r="D7" s="6" t="inlineStr">
        <is>
          <t>TULPS Art. 109 / Police workflow</t>
        </is>
      </c>
      <c r="E7" s="6" t="inlineStr">
        <is>
          <t>Send required data; erase document copies after reporting</t>
        </is>
      </c>
      <c r="F7" s="6" t="inlineStr">
        <is>
          <t>Must-have</t>
        </is>
      </c>
      <c r="G7" s="1" t="n"/>
      <c r="H7" s="1" t="n"/>
      <c r="I7" s="1" t="n"/>
    </row>
    <row r="8">
      <c r="A8" s="1" t="n"/>
      <c r="B8" s="6" t="inlineStr">
        <is>
          <t>Wi-Fi/BLE/Zigbee device</t>
        </is>
      </c>
      <c r="C8" s="6" t="inlineStr">
        <is>
          <t>CE, RED, EMC, RoHS, DoC, technical file</t>
        </is>
      </c>
      <c r="D8" s="6" t="inlineStr">
        <is>
          <t>EU product rules</t>
        </is>
      </c>
      <c r="E8" s="6" t="inlineStr">
        <is>
          <t>Verify pre-shipment; retain documentation</t>
        </is>
      </c>
      <c r="F8" s="6" t="inlineStr">
        <is>
          <t>Must-have</t>
        </is>
      </c>
      <c r="G8" s="1" t="n"/>
      <c r="H8" s="1" t="n"/>
      <c r="I8" s="1" t="n"/>
    </row>
    <row r="9">
      <c r="A9" s="1" t="n"/>
      <c r="B9" s="6" t="inlineStr">
        <is>
          <t>Connected IoT</t>
        </is>
      </c>
      <c r="C9" s="6" t="inlineStr">
        <is>
          <t>CRA vulnerability/security lifecycle</t>
        </is>
      </c>
      <c r="D9" s="6" t="inlineStr">
        <is>
          <t>CRA / RED cyber provisions</t>
        </is>
      </c>
      <c r="E9" s="6" t="inlineStr">
        <is>
          <t>SBOM, OTA updates, vendor support commitment</t>
        </is>
      </c>
      <c r="F9" s="6" t="inlineStr">
        <is>
          <t>Must-have</t>
        </is>
      </c>
      <c r="G9" s="1" t="n"/>
      <c r="H9" s="1" t="n"/>
      <c r="I9" s="1" t="n"/>
    </row>
    <row r="10">
      <c r="A10" s="1" t="n"/>
      <c r="B10" s="6" t="inlineStr">
        <is>
          <t>Payment</t>
        </is>
      </c>
      <c r="C10" s="6" t="inlineStr">
        <is>
          <t>PSP/acquirer; PCI handled by provider</t>
        </is>
      </c>
      <c r="D10" s="6" t="inlineStr">
        <is>
          <t>Payments</t>
        </is>
      </c>
      <c r="E10" s="6" t="inlineStr">
        <is>
          <t>Use certified terminal; do not store card data</t>
        </is>
      </c>
      <c r="F10" s="6" t="inlineStr">
        <is>
          <t>Must-have</t>
        </is>
      </c>
      <c r="G10" s="1" t="n"/>
      <c r="H10" s="1" t="n"/>
      <c r="I10" s="1" t="n"/>
    </row>
    <row r="11">
      <c r="A11" s="1" t="n"/>
      <c r="B11" s="6" t="inlineStr">
        <is>
          <t>Food/retail vending</t>
        </is>
      </c>
      <c r="C11" s="6" t="inlineStr">
        <is>
          <t>Local SUAP/SCIA, food labelling/HACCP as applicable</t>
        </is>
      </c>
      <c r="D11" s="6" t="inlineStr">
        <is>
          <t>Municipal/health rules</t>
        </is>
      </c>
      <c r="E11" s="6" t="inlineStr">
        <is>
          <t>Use licensed local operator initially</t>
        </is>
      </c>
      <c r="F11" s="6" t="inlineStr">
        <is>
          <t>Before sale</t>
        </is>
      </c>
      <c r="G11" s="1" t="n"/>
      <c r="H11" s="1" t="n"/>
      <c r="I11" s="1" t="n"/>
    </row>
    <row r="12">
      <c r="A12" s="1" t="n"/>
      <c r="B12" s="6" t="inlineStr">
        <is>
          <t>Alcohol vending</t>
        </is>
      </c>
      <c r="C12" s="6" t="inlineStr">
        <is>
          <t>Age/local licensing rules</t>
        </is>
      </c>
      <c r="D12" s="6" t="inlineStr">
        <is>
          <t>Local rules</t>
        </is>
      </c>
      <c r="E12" s="6" t="inlineStr">
        <is>
          <t>Legal review per municipality</t>
        </is>
      </c>
      <c r="F12" s="6" t="inlineStr">
        <is>
          <t>Defer</t>
        </is>
      </c>
      <c r="G12" s="1" t="n"/>
      <c r="H12" s="1" t="n"/>
      <c r="I12" s="1" t="n"/>
    </row>
    <row r="13">
      <c r="A13" s="1" t="n"/>
      <c r="B13" s="6" t="inlineStr">
        <is>
          <t>Vapes/tobacco</t>
        </is>
      </c>
      <c r="C13" s="6" t="inlineStr">
        <is>
          <t>ADM authorisation, age checks, advertising rules</t>
        </is>
      </c>
      <c r="D13" s="6" t="inlineStr">
        <is>
          <t>ADM / tobacco rules</t>
        </is>
      </c>
      <c r="E13" s="6" t="inlineStr">
        <is>
          <t>Licensed operator partnership only</t>
        </is>
      </c>
      <c r="F13" s="6" t="inlineStr">
        <is>
          <t>Do not direct-sell</t>
        </is>
      </c>
      <c r="G13" s="1" t="n"/>
      <c r="H13" s="1" t="n"/>
      <c r="I13" s="1" t="n"/>
    </row>
    <row r="14">
      <c r="A14" s="1" t="n"/>
      <c r="B14" s="6" t="inlineStr">
        <is>
          <t>Smart locks</t>
        </is>
      </c>
      <c r="C14" s="6" t="inlineStr">
        <is>
          <t>Product conformity, fire/egress compatibility</t>
        </is>
      </c>
      <c r="D14" s="6" t="inlineStr">
        <is>
          <t>EU + building/fire requirements</t>
        </is>
      </c>
      <c r="E14" s="6" t="inlineStr">
        <is>
          <t>Use certified products &amp; locksmith</t>
        </is>
      </c>
      <c r="F14" s="6" t="inlineStr">
        <is>
          <t>Before installation</t>
        </is>
      </c>
      <c r="G14" s="1" t="n"/>
      <c r="H14" s="1" t="n"/>
      <c r="I14" s="1" t="n"/>
    </row>
    <row r="15">
      <c r="A15" s="1" t="n"/>
      <c r="B15" s="6" t="inlineStr">
        <is>
          <t>Robots</t>
        </is>
      </c>
      <c r="C15" s="6" t="inlineStr">
        <is>
          <t>CE/product safety, insurance, site risk assessment</t>
        </is>
      </c>
      <c r="D15" s="6" t="inlineStr">
        <is>
          <t>EU product safety</t>
        </is>
      </c>
      <c r="E15" s="6" t="inlineStr">
        <is>
          <t>Supervised pilot, liability cover</t>
        </is>
      </c>
      <c r="F15" s="6" t="inlineStr">
        <is>
          <t>Before deployment</t>
        </is>
      </c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3" t="inlineStr">
        <is>
          <t>Ключевые факты: Garante Privacy запрещает хранить копии документов после времени, необходимого для передачи в Alloggiati Web; CRA полностью применяется с 11.12.2027, reporting obligations — с 11.09.2026.</t>
        </is>
      </c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</sheetData>
  <mergeCells count="3">
    <mergeCell ref="B3:I3"/>
    <mergeCell ref="B18:I19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" t="inlineStr">
        <is>
          <t>Развёртывание / Deployment</t>
        </is>
      </c>
      <c r="C2" s="1" t="n"/>
      <c r="D2" s="1" t="n"/>
      <c r="E2" s="1" t="n"/>
      <c r="F2" s="1" t="n"/>
      <c r="G2" s="1" t="n"/>
      <c r="H2" s="1" t="n"/>
      <c r="I2" s="1" t="n"/>
    </row>
    <row r="3" ht="30" customHeight="1">
      <c r="A3" s="1" t="n"/>
      <c r="B3" s="3" t="inlineStr">
        <is>
          <t>Base case monthly deployments drive P&amp;L and cash flow.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0" t="inlineStr">
        <is>
          <t>Month</t>
        </is>
      </c>
      <c r="C5" s="10" t="inlineStr">
        <is>
          <t>New hotels</t>
        </is>
      </c>
      <c r="D5" s="10" t="inlineStr">
        <is>
          <t>Cumulative hotels</t>
        </is>
      </c>
      <c r="E5" s="10" t="inlineStr">
        <is>
          <t>GuestNodes deployed</t>
        </is>
      </c>
      <c r="F5" s="10" t="inlineStr">
        <is>
          <t>Travel Walls deployed</t>
        </is>
      </c>
      <c r="G5" s="10" t="inlineStr">
        <is>
          <t>IoT rooms deployed</t>
        </is>
      </c>
      <c r="H5" s="10" t="inlineStr">
        <is>
          <t>Setup revenue EUR</t>
        </is>
      </c>
      <c r="I5" s="10" t="inlineStr">
        <is>
          <t>Hardware CAPEX EUR</t>
        </is>
      </c>
    </row>
    <row r="6">
      <c r="A6" s="1" t="n"/>
      <c r="B6" s="11" t="n">
        <v>1</v>
      </c>
      <c r="C6" s="12" t="n">
        <v>1</v>
      </c>
      <c r="D6" s="13">
        <f>SUM($C$6:C6)</f>
        <v/>
      </c>
      <c r="E6" s="13">
        <f>C6</f>
        <v/>
      </c>
      <c r="F6" s="13">
        <f>C6</f>
        <v/>
      </c>
      <c r="G6" s="13">
        <f>C6*'01_Assumptions'!$D$8</f>
        <v/>
      </c>
      <c r="H6" s="13">
        <f>C6*'01_Assumptions'!$D$5*0+'01_Assumptions'!$D$14*C6+'01_Assumptions'!$D$15*C6+'01_Assumptions'!$D$16*C6*'01_Assumptions'!$D$7</f>
        <v/>
      </c>
      <c r="I6" s="13">
        <f>D6*'01_Assumptions'!$D$8</f>
        <v/>
      </c>
    </row>
    <row r="7">
      <c r="A7" s="1" t="n"/>
      <c r="B7" s="11" t="n">
        <v>2</v>
      </c>
      <c r="C7" s="12" t="n">
        <v>1</v>
      </c>
      <c r="D7" s="13">
        <f>SUM($C$6:C7)</f>
        <v/>
      </c>
      <c r="E7" s="13">
        <f>C7</f>
        <v/>
      </c>
      <c r="F7" s="13">
        <f>C7</f>
        <v/>
      </c>
      <c r="G7" s="13">
        <f>C7*'01_Assumptions'!$D$8</f>
        <v/>
      </c>
      <c r="H7" s="13">
        <f>C7*'01_Assumptions'!$D$5*0+'01_Assumptions'!$D$14*C7+'01_Assumptions'!$D$15*C7+'01_Assumptions'!$D$16*C7*'01_Assumptions'!$D$7</f>
        <v/>
      </c>
      <c r="I7" s="13">
        <f>D7*'01_Assumptions'!$D$8</f>
        <v/>
      </c>
    </row>
    <row r="8">
      <c r="A8" s="1" t="n"/>
      <c r="B8" s="11" t="n">
        <v>3</v>
      </c>
      <c r="C8" s="12" t="n">
        <v>1</v>
      </c>
      <c r="D8" s="13">
        <f>SUM($C$6:C8)</f>
        <v/>
      </c>
      <c r="E8" s="13">
        <f>C8</f>
        <v/>
      </c>
      <c r="F8" s="13">
        <f>C8</f>
        <v/>
      </c>
      <c r="G8" s="13">
        <f>C8*'01_Assumptions'!$D$8</f>
        <v/>
      </c>
      <c r="H8" s="13">
        <f>C8*'01_Assumptions'!$D$5*0+'01_Assumptions'!$D$14*C8+'01_Assumptions'!$D$15*C8+'01_Assumptions'!$D$16*C8*'01_Assumptions'!$D$7</f>
        <v/>
      </c>
      <c r="I8" s="13">
        <f>D8*'01_Assumptions'!$D$8</f>
        <v/>
      </c>
    </row>
    <row r="9">
      <c r="A9" s="1" t="n"/>
      <c r="B9" s="11" t="n">
        <v>4</v>
      </c>
      <c r="C9" s="12" t="n">
        <v>1</v>
      </c>
      <c r="D9" s="13">
        <f>SUM($C$6:C9)</f>
        <v/>
      </c>
      <c r="E9" s="13">
        <f>C9</f>
        <v/>
      </c>
      <c r="F9" s="13">
        <f>C9</f>
        <v/>
      </c>
      <c r="G9" s="13">
        <f>C9*'01_Assumptions'!$D$8</f>
        <v/>
      </c>
      <c r="H9" s="13">
        <f>C9*'01_Assumptions'!$D$5*0+'01_Assumptions'!$D$14*C9+'01_Assumptions'!$D$15*C9+'01_Assumptions'!$D$16*C9*'01_Assumptions'!$D$7</f>
        <v/>
      </c>
      <c r="I9" s="13">
        <f>D9*'01_Assumptions'!$D$8</f>
        <v/>
      </c>
    </row>
    <row r="10">
      <c r="A10" s="1" t="n"/>
      <c r="B10" s="11" t="n">
        <v>5</v>
      </c>
      <c r="C10" s="12" t="n">
        <v>1</v>
      </c>
      <c r="D10" s="13">
        <f>SUM($C$6:C10)</f>
        <v/>
      </c>
      <c r="E10" s="13">
        <f>C10</f>
        <v/>
      </c>
      <c r="F10" s="13">
        <f>C10</f>
        <v/>
      </c>
      <c r="G10" s="13">
        <f>C10*'01_Assumptions'!$D$8</f>
        <v/>
      </c>
      <c r="H10" s="13">
        <f>C10*'01_Assumptions'!$D$5*0+'01_Assumptions'!$D$14*C10+'01_Assumptions'!$D$15*C10+'01_Assumptions'!$D$16*C10*'01_Assumptions'!$D$7</f>
        <v/>
      </c>
      <c r="I10" s="13">
        <f>D10*'01_Assumptions'!$D$8</f>
        <v/>
      </c>
    </row>
    <row r="11">
      <c r="A11" s="1" t="n"/>
      <c r="B11" s="11" t="n">
        <v>6</v>
      </c>
      <c r="C11" s="12" t="n">
        <v>1</v>
      </c>
      <c r="D11" s="13">
        <f>SUM($C$6:C11)</f>
        <v/>
      </c>
      <c r="E11" s="13">
        <f>C11</f>
        <v/>
      </c>
      <c r="F11" s="13">
        <f>C11</f>
        <v/>
      </c>
      <c r="G11" s="13">
        <f>C11*'01_Assumptions'!$D$8</f>
        <v/>
      </c>
      <c r="H11" s="13">
        <f>C11*'01_Assumptions'!$D$5*0+'01_Assumptions'!$D$14*C11+'01_Assumptions'!$D$15*C11+'01_Assumptions'!$D$16*C11*'01_Assumptions'!$D$7</f>
        <v/>
      </c>
      <c r="I11" s="13">
        <f>D11*'01_Assumptions'!$D$8</f>
        <v/>
      </c>
    </row>
    <row r="12">
      <c r="A12" s="1" t="n"/>
      <c r="B12" s="11" t="n">
        <v>7</v>
      </c>
      <c r="C12" s="12" t="n">
        <v>2</v>
      </c>
      <c r="D12" s="13">
        <f>SUM($C$6:C12)</f>
        <v/>
      </c>
      <c r="E12" s="13">
        <f>C12</f>
        <v/>
      </c>
      <c r="F12" s="13">
        <f>C12</f>
        <v/>
      </c>
      <c r="G12" s="13">
        <f>C12*'01_Assumptions'!$D$8</f>
        <v/>
      </c>
      <c r="H12" s="13">
        <f>C12*'01_Assumptions'!$D$5*0+'01_Assumptions'!$D$14*C12+'01_Assumptions'!$D$15*C12+'01_Assumptions'!$D$16*C12*'01_Assumptions'!$D$7</f>
        <v/>
      </c>
      <c r="I12" s="13">
        <f>D12*'01_Assumptions'!$D$8</f>
        <v/>
      </c>
    </row>
    <row r="13">
      <c r="A13" s="1" t="n"/>
      <c r="B13" s="11" t="n">
        <v>8</v>
      </c>
      <c r="C13" s="12" t="n">
        <v>2</v>
      </c>
      <c r="D13" s="13">
        <f>SUM($C$6:C13)</f>
        <v/>
      </c>
      <c r="E13" s="13">
        <f>C13</f>
        <v/>
      </c>
      <c r="F13" s="13">
        <f>C13</f>
        <v/>
      </c>
      <c r="G13" s="13">
        <f>C13*'01_Assumptions'!$D$8</f>
        <v/>
      </c>
      <c r="H13" s="13">
        <f>C13*'01_Assumptions'!$D$5*0+'01_Assumptions'!$D$14*C13+'01_Assumptions'!$D$15*C13+'01_Assumptions'!$D$16*C13*'01_Assumptions'!$D$7</f>
        <v/>
      </c>
      <c r="I13" s="13">
        <f>D13*'01_Assumptions'!$D$8</f>
        <v/>
      </c>
    </row>
    <row r="14">
      <c r="A14" s="1" t="n"/>
      <c r="B14" s="11" t="n">
        <v>9</v>
      </c>
      <c r="C14" s="12" t="n">
        <v>2</v>
      </c>
      <c r="D14" s="13">
        <f>SUM($C$6:C14)</f>
        <v/>
      </c>
      <c r="E14" s="13">
        <f>C14</f>
        <v/>
      </c>
      <c r="F14" s="13">
        <f>C14</f>
        <v/>
      </c>
      <c r="G14" s="13">
        <f>C14*'01_Assumptions'!$D$8</f>
        <v/>
      </c>
      <c r="H14" s="13">
        <f>C14*'01_Assumptions'!$D$5*0+'01_Assumptions'!$D$14*C14+'01_Assumptions'!$D$15*C14+'01_Assumptions'!$D$16*C14*'01_Assumptions'!$D$7</f>
        <v/>
      </c>
      <c r="I14" s="13">
        <f>D14*'01_Assumptions'!$D$8</f>
        <v/>
      </c>
    </row>
    <row r="15">
      <c r="A15" s="1" t="n"/>
      <c r="B15" s="11" t="n">
        <v>10</v>
      </c>
      <c r="C15" s="12" t="n">
        <v>2</v>
      </c>
      <c r="D15" s="13">
        <f>SUM($C$6:C15)</f>
        <v/>
      </c>
      <c r="E15" s="13">
        <f>C15</f>
        <v/>
      </c>
      <c r="F15" s="13">
        <f>C15</f>
        <v/>
      </c>
      <c r="G15" s="13">
        <f>C15*'01_Assumptions'!$D$8</f>
        <v/>
      </c>
      <c r="H15" s="13">
        <f>C15*'01_Assumptions'!$D$5*0+'01_Assumptions'!$D$14*C15+'01_Assumptions'!$D$15*C15+'01_Assumptions'!$D$16*C15*'01_Assumptions'!$D$7</f>
        <v/>
      </c>
      <c r="I15" s="13">
        <f>D15*'01_Assumptions'!$D$8</f>
        <v/>
      </c>
    </row>
    <row r="16">
      <c r="A16" s="1" t="n"/>
      <c r="B16" s="11" t="n">
        <v>11</v>
      </c>
      <c r="C16" s="12" t="n">
        <v>2</v>
      </c>
      <c r="D16" s="13">
        <f>SUM($C$6:C16)</f>
        <v/>
      </c>
      <c r="E16" s="13">
        <f>C16</f>
        <v/>
      </c>
      <c r="F16" s="13">
        <f>C16</f>
        <v/>
      </c>
      <c r="G16" s="13">
        <f>C16*'01_Assumptions'!$D$8</f>
        <v/>
      </c>
      <c r="H16" s="13">
        <f>C16*'01_Assumptions'!$D$5*0+'01_Assumptions'!$D$14*C16+'01_Assumptions'!$D$15*C16+'01_Assumptions'!$D$16*C16*'01_Assumptions'!$D$7</f>
        <v/>
      </c>
      <c r="I16" s="13">
        <f>D16*'01_Assumptions'!$D$8</f>
        <v/>
      </c>
    </row>
    <row r="17">
      <c r="A17" s="1" t="n"/>
      <c r="B17" s="11" t="n">
        <v>12</v>
      </c>
      <c r="C17" s="12" t="n">
        <v>2</v>
      </c>
      <c r="D17" s="13">
        <f>SUM($C$6:C17)</f>
        <v/>
      </c>
      <c r="E17" s="13">
        <f>C17</f>
        <v/>
      </c>
      <c r="F17" s="13">
        <f>C17</f>
        <v/>
      </c>
      <c r="G17" s="13">
        <f>C17*'01_Assumptions'!$D$8</f>
        <v/>
      </c>
      <c r="H17" s="13">
        <f>C17*'01_Assumptions'!$D$5*0+'01_Assumptions'!$D$14*C17+'01_Assumptions'!$D$15*C17+'01_Assumptions'!$D$16*C17*'01_Assumptions'!$D$7</f>
        <v/>
      </c>
      <c r="I17" s="13">
        <f>D17*'01_Assumptions'!$D$8</f>
        <v/>
      </c>
    </row>
    <row r="18">
      <c r="A18" s="1" t="n"/>
      <c r="B18" s="11" t="n">
        <v>13</v>
      </c>
      <c r="C18" s="12" t="n">
        <v>2</v>
      </c>
      <c r="D18" s="13">
        <f>SUM($C$6:C18)</f>
        <v/>
      </c>
      <c r="E18" s="13">
        <f>C18</f>
        <v/>
      </c>
      <c r="F18" s="13">
        <f>C18</f>
        <v/>
      </c>
      <c r="G18" s="13">
        <f>C18*'01_Assumptions'!$D$8</f>
        <v/>
      </c>
      <c r="H18" s="13">
        <f>C18*'01_Assumptions'!$D$5*0+'01_Assumptions'!$D$14*C18+'01_Assumptions'!$D$15*C18+'01_Assumptions'!$D$16*C18*'01_Assumptions'!$D$7</f>
        <v/>
      </c>
      <c r="I18" s="13">
        <f>D18*'01_Assumptions'!$D$8</f>
        <v/>
      </c>
    </row>
    <row r="19">
      <c r="A19" s="1" t="n"/>
      <c r="B19" s="11" t="n">
        <v>14</v>
      </c>
      <c r="C19" s="12" t="n">
        <v>2</v>
      </c>
      <c r="D19" s="13">
        <f>SUM($C$6:C19)</f>
        <v/>
      </c>
      <c r="E19" s="13">
        <f>C19</f>
        <v/>
      </c>
      <c r="F19" s="13">
        <f>C19</f>
        <v/>
      </c>
      <c r="G19" s="13">
        <f>C19*'01_Assumptions'!$D$8</f>
        <v/>
      </c>
      <c r="H19" s="13">
        <f>C19*'01_Assumptions'!$D$5*0+'01_Assumptions'!$D$14*C19+'01_Assumptions'!$D$15*C19+'01_Assumptions'!$D$16*C19*'01_Assumptions'!$D$7</f>
        <v/>
      </c>
      <c r="I19" s="13">
        <f>D19*'01_Assumptions'!$D$8</f>
        <v/>
      </c>
    </row>
    <row r="20">
      <c r="A20" s="1" t="n"/>
      <c r="B20" s="11" t="n">
        <v>15</v>
      </c>
      <c r="C20" s="12" t="n">
        <v>2</v>
      </c>
      <c r="D20" s="13">
        <f>SUM($C$6:C20)</f>
        <v/>
      </c>
      <c r="E20" s="13">
        <f>C20</f>
        <v/>
      </c>
      <c r="F20" s="13">
        <f>C20</f>
        <v/>
      </c>
      <c r="G20" s="13">
        <f>C20*'01_Assumptions'!$D$8</f>
        <v/>
      </c>
      <c r="H20" s="13">
        <f>C20*'01_Assumptions'!$D$5*0+'01_Assumptions'!$D$14*C20+'01_Assumptions'!$D$15*C20+'01_Assumptions'!$D$16*C20*'01_Assumptions'!$D$7</f>
        <v/>
      </c>
      <c r="I20" s="13">
        <f>D20*'01_Assumptions'!$D$8</f>
        <v/>
      </c>
    </row>
    <row r="21">
      <c r="A21" s="1" t="n"/>
      <c r="B21" s="11" t="n">
        <v>16</v>
      </c>
      <c r="C21" s="12" t="n">
        <v>2</v>
      </c>
      <c r="D21" s="13">
        <f>SUM($C$6:C21)</f>
        <v/>
      </c>
      <c r="E21" s="13">
        <f>C21</f>
        <v/>
      </c>
      <c r="F21" s="13">
        <f>C21</f>
        <v/>
      </c>
      <c r="G21" s="13">
        <f>C21*'01_Assumptions'!$D$8</f>
        <v/>
      </c>
      <c r="H21" s="13">
        <f>C21*'01_Assumptions'!$D$5*0+'01_Assumptions'!$D$14*C21+'01_Assumptions'!$D$15*C21+'01_Assumptions'!$D$16*C21*'01_Assumptions'!$D$7</f>
        <v/>
      </c>
      <c r="I21" s="13">
        <f>D21*'01_Assumptions'!$D$8</f>
        <v/>
      </c>
    </row>
    <row r="22">
      <c r="A22" s="1" t="n"/>
      <c r="B22" s="11" t="n">
        <v>17</v>
      </c>
      <c r="C22" s="12" t="n">
        <v>2</v>
      </c>
      <c r="D22" s="13">
        <f>SUM($C$6:C22)</f>
        <v/>
      </c>
      <c r="E22" s="13">
        <f>C22</f>
        <v/>
      </c>
      <c r="F22" s="13">
        <f>C22</f>
        <v/>
      </c>
      <c r="G22" s="13">
        <f>C22*'01_Assumptions'!$D$8</f>
        <v/>
      </c>
      <c r="H22" s="13">
        <f>C22*'01_Assumptions'!$D$5*0+'01_Assumptions'!$D$14*C22+'01_Assumptions'!$D$15*C22+'01_Assumptions'!$D$16*C22*'01_Assumptions'!$D$7</f>
        <v/>
      </c>
      <c r="I22" s="13">
        <f>D22*'01_Assumptions'!$D$8</f>
        <v/>
      </c>
    </row>
    <row r="23">
      <c r="A23" s="1" t="n"/>
      <c r="B23" s="11" t="n">
        <v>18</v>
      </c>
      <c r="C23" s="12" t="n">
        <v>2</v>
      </c>
      <c r="D23" s="13">
        <f>SUM($C$6:C23)</f>
        <v/>
      </c>
      <c r="E23" s="13">
        <f>C23</f>
        <v/>
      </c>
      <c r="F23" s="13">
        <f>C23</f>
        <v/>
      </c>
      <c r="G23" s="13">
        <f>C23*'01_Assumptions'!$D$8</f>
        <v/>
      </c>
      <c r="H23" s="13">
        <f>C23*'01_Assumptions'!$D$5*0+'01_Assumptions'!$D$14*C23+'01_Assumptions'!$D$15*C23+'01_Assumptions'!$D$16*C23*'01_Assumptions'!$D$7</f>
        <v/>
      </c>
      <c r="I23" s="13">
        <f>D23*'01_Assumptions'!$D$8</f>
        <v/>
      </c>
    </row>
    <row r="24">
      <c r="A24" s="1" t="n"/>
      <c r="B24" s="11" t="n">
        <v>19</v>
      </c>
      <c r="C24" s="12" t="n">
        <v>3</v>
      </c>
      <c r="D24" s="13">
        <f>SUM($C$6:C24)</f>
        <v/>
      </c>
      <c r="E24" s="13">
        <f>C24</f>
        <v/>
      </c>
      <c r="F24" s="13">
        <f>C24</f>
        <v/>
      </c>
      <c r="G24" s="13">
        <f>C24*'01_Assumptions'!$D$8</f>
        <v/>
      </c>
      <c r="H24" s="13">
        <f>C24*'01_Assumptions'!$D$5*0+'01_Assumptions'!$D$14*C24+'01_Assumptions'!$D$15*C24+'01_Assumptions'!$D$16*C24*'01_Assumptions'!$D$7</f>
        <v/>
      </c>
      <c r="I24" s="13">
        <f>D24*'01_Assumptions'!$D$8</f>
        <v/>
      </c>
    </row>
    <row r="25">
      <c r="A25" s="1" t="n"/>
      <c r="B25" s="11" t="n">
        <v>20</v>
      </c>
      <c r="C25" s="12" t="n">
        <v>3</v>
      </c>
      <c r="D25" s="13">
        <f>SUM($C$6:C25)</f>
        <v/>
      </c>
      <c r="E25" s="13">
        <f>C25</f>
        <v/>
      </c>
      <c r="F25" s="13">
        <f>C25</f>
        <v/>
      </c>
      <c r="G25" s="13">
        <f>C25*'01_Assumptions'!$D$8</f>
        <v/>
      </c>
      <c r="H25" s="13">
        <f>C25*'01_Assumptions'!$D$5*0+'01_Assumptions'!$D$14*C25+'01_Assumptions'!$D$15*C25+'01_Assumptions'!$D$16*C25*'01_Assumptions'!$D$7</f>
        <v/>
      </c>
      <c r="I25" s="13">
        <f>D25*'01_Assumptions'!$D$8</f>
        <v/>
      </c>
    </row>
    <row r="26">
      <c r="A26" s="1" t="n"/>
      <c r="B26" s="11" t="n">
        <v>21</v>
      </c>
      <c r="C26" s="12" t="n">
        <v>3</v>
      </c>
      <c r="D26" s="13">
        <f>SUM($C$6:C26)</f>
        <v/>
      </c>
      <c r="E26" s="13">
        <f>C26</f>
        <v/>
      </c>
      <c r="F26" s="13">
        <f>C26</f>
        <v/>
      </c>
      <c r="G26" s="13">
        <f>C26*'01_Assumptions'!$D$8</f>
        <v/>
      </c>
      <c r="H26" s="13">
        <f>C26*'01_Assumptions'!$D$5*0+'01_Assumptions'!$D$14*C26+'01_Assumptions'!$D$15*C26+'01_Assumptions'!$D$16*C26*'01_Assumptions'!$D$7</f>
        <v/>
      </c>
      <c r="I26" s="13">
        <f>D26*'01_Assumptions'!$D$8</f>
        <v/>
      </c>
    </row>
    <row r="27">
      <c r="A27" s="1" t="n"/>
      <c r="B27" s="11" t="n">
        <v>22</v>
      </c>
      <c r="C27" s="12" t="n">
        <v>3</v>
      </c>
      <c r="D27" s="13">
        <f>SUM($C$6:C27)</f>
        <v/>
      </c>
      <c r="E27" s="13">
        <f>C27</f>
        <v/>
      </c>
      <c r="F27" s="13">
        <f>C27</f>
        <v/>
      </c>
      <c r="G27" s="13">
        <f>C27*'01_Assumptions'!$D$8</f>
        <v/>
      </c>
      <c r="H27" s="13">
        <f>C27*'01_Assumptions'!$D$5*0+'01_Assumptions'!$D$14*C27+'01_Assumptions'!$D$15*C27+'01_Assumptions'!$D$16*C27*'01_Assumptions'!$D$7</f>
        <v/>
      </c>
      <c r="I27" s="13">
        <f>D27*'01_Assumptions'!$D$8</f>
        <v/>
      </c>
    </row>
    <row r="28">
      <c r="A28" s="1" t="n"/>
      <c r="B28" s="11" t="n">
        <v>23</v>
      </c>
      <c r="C28" s="12" t="n">
        <v>3</v>
      </c>
      <c r="D28" s="13">
        <f>SUM($C$6:C28)</f>
        <v/>
      </c>
      <c r="E28" s="13">
        <f>C28</f>
        <v/>
      </c>
      <c r="F28" s="13">
        <f>C28</f>
        <v/>
      </c>
      <c r="G28" s="13">
        <f>C28*'01_Assumptions'!$D$8</f>
        <v/>
      </c>
      <c r="H28" s="13">
        <f>C28*'01_Assumptions'!$D$5*0+'01_Assumptions'!$D$14*C28+'01_Assumptions'!$D$15*C28+'01_Assumptions'!$D$16*C28*'01_Assumptions'!$D$7</f>
        <v/>
      </c>
      <c r="I28" s="13">
        <f>D28*'01_Assumptions'!$D$8</f>
        <v/>
      </c>
    </row>
    <row r="29">
      <c r="A29" s="1" t="n"/>
      <c r="B29" s="11" t="n">
        <v>24</v>
      </c>
      <c r="C29" s="12" t="n">
        <v>3</v>
      </c>
      <c r="D29" s="13">
        <f>SUM($C$6:C29)</f>
        <v/>
      </c>
      <c r="E29" s="13">
        <f>C29</f>
        <v/>
      </c>
      <c r="F29" s="13">
        <f>C29</f>
        <v/>
      </c>
      <c r="G29" s="13">
        <f>C29*'01_Assumptions'!$D$8</f>
        <v/>
      </c>
      <c r="H29" s="13">
        <f>C29*'01_Assumptions'!$D$5*0+'01_Assumptions'!$D$14*C29+'01_Assumptions'!$D$15*C29+'01_Assumptions'!$D$16*C29*'01_Assumptions'!$D$7</f>
        <v/>
      </c>
      <c r="I29" s="13">
        <f>D29*'01_Assumptions'!$D$8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6" customHeight="1">
      <c r="A2" s="1" t="n"/>
      <c r="B2" s="2" t="inlineStr">
        <is>
          <t>P&amp;L / Conto economico / Profit &amp; Loss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30" customHeight="1">
      <c r="A3" s="1" t="n"/>
      <c r="B3" s="3" t="inlineStr">
        <is>
          <t>24-month Base scenario. Formulas link to assumptions and deployment.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n"/>
      <c r="B5" s="10" t="inlineStr">
        <is>
          <t>Line item</t>
        </is>
      </c>
      <c r="C5" s="10" t="inlineStr">
        <is>
          <t>M1</t>
        </is>
      </c>
      <c r="D5" s="10" t="inlineStr">
        <is>
          <t>M2</t>
        </is>
      </c>
      <c r="E5" s="10" t="inlineStr">
        <is>
          <t>M3</t>
        </is>
      </c>
      <c r="F5" s="10" t="inlineStr">
        <is>
          <t>M4</t>
        </is>
      </c>
      <c r="G5" s="10" t="inlineStr">
        <is>
          <t>M5</t>
        </is>
      </c>
      <c r="H5" s="10" t="inlineStr">
        <is>
          <t>M6</t>
        </is>
      </c>
      <c r="I5" s="10" t="inlineStr">
        <is>
          <t>M7</t>
        </is>
      </c>
      <c r="J5" s="10" t="inlineStr">
        <is>
          <t>M8</t>
        </is>
      </c>
      <c r="K5" s="10" t="inlineStr">
        <is>
          <t>M9</t>
        </is>
      </c>
      <c r="L5" s="10" t="inlineStr">
        <is>
          <t>M10</t>
        </is>
      </c>
      <c r="M5" s="10" t="inlineStr">
        <is>
          <t>M11</t>
        </is>
      </c>
      <c r="N5" s="10" t="inlineStr">
        <is>
          <t>M12</t>
        </is>
      </c>
      <c r="O5" s="10" t="inlineStr">
        <is>
          <t>M13</t>
        </is>
      </c>
      <c r="P5" s="10" t="inlineStr">
        <is>
          <t>M14</t>
        </is>
      </c>
      <c r="Q5" s="10" t="inlineStr">
        <is>
          <t>M15</t>
        </is>
      </c>
      <c r="R5" s="10" t="inlineStr">
        <is>
          <t>M16</t>
        </is>
      </c>
      <c r="S5" s="10" t="inlineStr">
        <is>
          <t>M17</t>
        </is>
      </c>
      <c r="T5" s="10" t="inlineStr">
        <is>
          <t>M18</t>
        </is>
      </c>
      <c r="U5" s="10" t="inlineStr">
        <is>
          <t>M19</t>
        </is>
      </c>
      <c r="V5" s="10" t="inlineStr">
        <is>
          <t>M20</t>
        </is>
      </c>
      <c r="W5" s="10" t="inlineStr">
        <is>
          <t>M21</t>
        </is>
      </c>
      <c r="X5" s="10" t="inlineStr">
        <is>
          <t>M22</t>
        </is>
      </c>
      <c r="Y5" s="10" t="inlineStr">
        <is>
          <t>M23</t>
        </is>
      </c>
      <c r="Z5" s="10" t="inlineStr">
        <is>
          <t>M24</t>
        </is>
      </c>
      <c r="AA5" s="10" t="inlineStr">
        <is>
          <t>Y1</t>
        </is>
      </c>
      <c r="AB5" s="10" t="inlineStr">
        <is>
          <t>Y2</t>
        </is>
      </c>
    </row>
    <row r="6">
      <c r="A6" s="1" t="n"/>
      <c r="B6" s="14" t="inlineStr">
        <is>
          <t>Hotels active</t>
        </is>
      </c>
      <c r="C6" s="13">
        <f>'04_Deploy'!D6</f>
        <v/>
      </c>
      <c r="D6" s="13">
        <f>'04_Deploy'!D7</f>
        <v/>
      </c>
      <c r="E6" s="13">
        <f>'04_Deploy'!D8</f>
        <v/>
      </c>
      <c r="F6" s="13">
        <f>'04_Deploy'!D9</f>
        <v/>
      </c>
      <c r="G6" s="13">
        <f>'04_Deploy'!D10</f>
        <v/>
      </c>
      <c r="H6" s="13">
        <f>'04_Deploy'!D11</f>
        <v/>
      </c>
      <c r="I6" s="13">
        <f>'04_Deploy'!D12</f>
        <v/>
      </c>
      <c r="J6" s="13">
        <f>'04_Deploy'!D13</f>
        <v/>
      </c>
      <c r="K6" s="13">
        <f>'04_Deploy'!D14</f>
        <v/>
      </c>
      <c r="L6" s="13">
        <f>'04_Deploy'!D15</f>
        <v/>
      </c>
      <c r="M6" s="13">
        <f>'04_Deploy'!D16</f>
        <v/>
      </c>
      <c r="N6" s="13">
        <f>'04_Deploy'!D17</f>
        <v/>
      </c>
      <c r="O6" s="13">
        <f>'04_Deploy'!D18</f>
        <v/>
      </c>
      <c r="P6" s="13">
        <f>'04_Deploy'!D19</f>
        <v/>
      </c>
      <c r="Q6" s="13">
        <f>'04_Deploy'!D20</f>
        <v/>
      </c>
      <c r="R6" s="13">
        <f>'04_Deploy'!D21</f>
        <v/>
      </c>
      <c r="S6" s="13">
        <f>'04_Deploy'!D22</f>
        <v/>
      </c>
      <c r="T6" s="13">
        <f>'04_Deploy'!D23</f>
        <v/>
      </c>
      <c r="U6" s="13">
        <f>'04_Deploy'!D24</f>
        <v/>
      </c>
      <c r="V6" s="13">
        <f>'04_Deploy'!D25</f>
        <v/>
      </c>
      <c r="W6" s="13">
        <f>'04_Deploy'!D26</f>
        <v/>
      </c>
      <c r="X6" s="13">
        <f>'04_Deploy'!D27</f>
        <v/>
      </c>
      <c r="Y6" s="13">
        <f>'04_Deploy'!D28</f>
        <v/>
      </c>
      <c r="Z6" s="13">
        <f>'04_Deploy'!D29</f>
        <v/>
      </c>
      <c r="AA6" s="13">
        <f>SUM(C6:N6)</f>
        <v/>
      </c>
      <c r="AB6" s="13">
        <f>SUM(O6:Z6)</f>
        <v/>
      </c>
    </row>
    <row r="7">
      <c r="A7" s="1" t="n"/>
      <c r="B7" s="14" t="inlineStr">
        <is>
          <t>Setup fees</t>
        </is>
      </c>
      <c r="C7" s="13">
        <f>'04_Deploy'!C6*'01_Assumptions'!$D$9</f>
        <v/>
      </c>
      <c r="D7" s="13">
        <f>'04_Deploy'!C7*'01_Assumptions'!$D$9</f>
        <v/>
      </c>
      <c r="E7" s="13">
        <f>'04_Deploy'!C8*'01_Assumptions'!$D$9</f>
        <v/>
      </c>
      <c r="F7" s="13">
        <f>'04_Deploy'!C9*'01_Assumptions'!$D$9</f>
        <v/>
      </c>
      <c r="G7" s="13">
        <f>'04_Deploy'!C10*'01_Assumptions'!$D$9</f>
        <v/>
      </c>
      <c r="H7" s="13">
        <f>'04_Deploy'!C11*'01_Assumptions'!$D$9</f>
        <v/>
      </c>
      <c r="I7" s="13">
        <f>'04_Deploy'!C12*'01_Assumptions'!$D$9</f>
        <v/>
      </c>
      <c r="J7" s="13">
        <f>'04_Deploy'!C13*'01_Assumptions'!$D$9</f>
        <v/>
      </c>
      <c r="K7" s="13">
        <f>'04_Deploy'!C14*'01_Assumptions'!$D$9</f>
        <v/>
      </c>
      <c r="L7" s="13">
        <f>'04_Deploy'!C15*'01_Assumptions'!$D$9</f>
        <v/>
      </c>
      <c r="M7" s="13">
        <f>'04_Deploy'!C16*'01_Assumptions'!$D$9</f>
        <v/>
      </c>
      <c r="N7" s="13">
        <f>'04_Deploy'!C17*'01_Assumptions'!$D$9</f>
        <v/>
      </c>
      <c r="O7" s="13">
        <f>'04_Deploy'!C18*'01_Assumptions'!$D$9</f>
        <v/>
      </c>
      <c r="P7" s="13">
        <f>'04_Deploy'!C19*'01_Assumptions'!$D$9</f>
        <v/>
      </c>
      <c r="Q7" s="13">
        <f>'04_Deploy'!C20*'01_Assumptions'!$D$9</f>
        <v/>
      </c>
      <c r="R7" s="13">
        <f>'04_Deploy'!C21*'01_Assumptions'!$D$9</f>
        <v/>
      </c>
      <c r="S7" s="13">
        <f>'04_Deploy'!C22*'01_Assumptions'!$D$9</f>
        <v/>
      </c>
      <c r="T7" s="13">
        <f>'04_Deploy'!C23*'01_Assumptions'!$D$9</f>
        <v/>
      </c>
      <c r="U7" s="13">
        <f>'04_Deploy'!C24*'01_Assumptions'!$D$9</f>
        <v/>
      </c>
      <c r="V7" s="13">
        <f>'04_Deploy'!C25*'01_Assumptions'!$D$9</f>
        <v/>
      </c>
      <c r="W7" s="13">
        <f>'04_Deploy'!C26*'01_Assumptions'!$D$9</f>
        <v/>
      </c>
      <c r="X7" s="13">
        <f>'04_Deploy'!C27*'01_Assumptions'!$D$9</f>
        <v/>
      </c>
      <c r="Y7" s="13">
        <f>'04_Deploy'!C28*'01_Assumptions'!$D$9</f>
        <v/>
      </c>
      <c r="Z7" s="13">
        <f>'04_Deploy'!C29*'01_Assumptions'!$D$9</f>
        <v/>
      </c>
      <c r="AA7" s="13">
        <f>SUM(C7:N7)</f>
        <v/>
      </c>
      <c r="AB7" s="13">
        <f>SUM(O7:Z7)</f>
        <v/>
      </c>
    </row>
    <row r="8">
      <c r="A8" s="1" t="n"/>
      <c r="B8" s="14" t="inlineStr">
        <is>
          <t>Agent OS SaaS</t>
        </is>
      </c>
      <c r="C8" s="13">
        <f>'04_Deploy'!D6*'01_Assumptions'!$D$10</f>
        <v/>
      </c>
      <c r="D8" s="13">
        <f>'04_Deploy'!D7*'01_Assumptions'!$D$10</f>
        <v/>
      </c>
      <c r="E8" s="13">
        <f>'04_Deploy'!D8*'01_Assumptions'!$D$10</f>
        <v/>
      </c>
      <c r="F8" s="13">
        <f>'04_Deploy'!D9*'01_Assumptions'!$D$10</f>
        <v/>
      </c>
      <c r="G8" s="13">
        <f>'04_Deploy'!D10*'01_Assumptions'!$D$10</f>
        <v/>
      </c>
      <c r="H8" s="13">
        <f>'04_Deploy'!D11*'01_Assumptions'!$D$10</f>
        <v/>
      </c>
      <c r="I8" s="13">
        <f>'04_Deploy'!D12*'01_Assumptions'!$D$10</f>
        <v/>
      </c>
      <c r="J8" s="13">
        <f>'04_Deploy'!D13*'01_Assumptions'!$D$10</f>
        <v/>
      </c>
      <c r="K8" s="13">
        <f>'04_Deploy'!D14*'01_Assumptions'!$D$10</f>
        <v/>
      </c>
      <c r="L8" s="13">
        <f>'04_Deploy'!D15*'01_Assumptions'!$D$10</f>
        <v/>
      </c>
      <c r="M8" s="13">
        <f>'04_Deploy'!D16*'01_Assumptions'!$D$10</f>
        <v/>
      </c>
      <c r="N8" s="13">
        <f>'04_Deploy'!D17*'01_Assumptions'!$D$10</f>
        <v/>
      </c>
      <c r="O8" s="13">
        <f>'04_Deploy'!D18*'01_Assumptions'!$D$10</f>
        <v/>
      </c>
      <c r="P8" s="13">
        <f>'04_Deploy'!D19*'01_Assumptions'!$D$10</f>
        <v/>
      </c>
      <c r="Q8" s="13">
        <f>'04_Deploy'!D20*'01_Assumptions'!$D$10</f>
        <v/>
      </c>
      <c r="R8" s="13">
        <f>'04_Deploy'!D21*'01_Assumptions'!$D$10</f>
        <v/>
      </c>
      <c r="S8" s="13">
        <f>'04_Deploy'!D22*'01_Assumptions'!$D$10</f>
        <v/>
      </c>
      <c r="T8" s="13">
        <f>'04_Deploy'!D23*'01_Assumptions'!$D$10</f>
        <v/>
      </c>
      <c r="U8" s="13">
        <f>'04_Deploy'!D24*'01_Assumptions'!$D$10</f>
        <v/>
      </c>
      <c r="V8" s="13">
        <f>'04_Deploy'!D25*'01_Assumptions'!$D$10</f>
        <v/>
      </c>
      <c r="W8" s="13">
        <f>'04_Deploy'!D26*'01_Assumptions'!$D$10</f>
        <v/>
      </c>
      <c r="X8" s="13">
        <f>'04_Deploy'!D27*'01_Assumptions'!$D$10</f>
        <v/>
      </c>
      <c r="Y8" s="13">
        <f>'04_Deploy'!D28*'01_Assumptions'!$D$10</f>
        <v/>
      </c>
      <c r="Z8" s="13">
        <f>'04_Deploy'!D29*'01_Assumptions'!$D$10</f>
        <v/>
      </c>
      <c r="AA8" s="13">
        <f>SUM(C8:N8)</f>
        <v/>
      </c>
      <c r="AB8" s="13">
        <f>SUM(O8:Z8)</f>
        <v/>
      </c>
    </row>
    <row r="9">
      <c r="A9" s="1" t="n"/>
      <c r="B9" s="14" t="inlineStr">
        <is>
          <t>GuestNode SaaS</t>
        </is>
      </c>
      <c r="C9" s="13">
        <f>'04_Deploy'!D6*'01_Assumptions'!$D$11</f>
        <v/>
      </c>
      <c r="D9" s="13">
        <f>'04_Deploy'!D7*'01_Assumptions'!$D$11</f>
        <v/>
      </c>
      <c r="E9" s="13">
        <f>'04_Deploy'!D8*'01_Assumptions'!$D$11</f>
        <v/>
      </c>
      <c r="F9" s="13">
        <f>'04_Deploy'!D9*'01_Assumptions'!$D$11</f>
        <v/>
      </c>
      <c r="G9" s="13">
        <f>'04_Deploy'!D10*'01_Assumptions'!$D$11</f>
        <v/>
      </c>
      <c r="H9" s="13">
        <f>'04_Deploy'!D11*'01_Assumptions'!$D$11</f>
        <v/>
      </c>
      <c r="I9" s="13">
        <f>'04_Deploy'!D12*'01_Assumptions'!$D$11</f>
        <v/>
      </c>
      <c r="J9" s="13">
        <f>'04_Deploy'!D13*'01_Assumptions'!$D$11</f>
        <v/>
      </c>
      <c r="K9" s="13">
        <f>'04_Deploy'!D14*'01_Assumptions'!$D$11</f>
        <v/>
      </c>
      <c r="L9" s="13">
        <f>'04_Deploy'!D15*'01_Assumptions'!$D$11</f>
        <v/>
      </c>
      <c r="M9" s="13">
        <f>'04_Deploy'!D16*'01_Assumptions'!$D$11</f>
        <v/>
      </c>
      <c r="N9" s="13">
        <f>'04_Deploy'!D17*'01_Assumptions'!$D$11</f>
        <v/>
      </c>
      <c r="O9" s="13">
        <f>'04_Deploy'!D18*'01_Assumptions'!$D$11</f>
        <v/>
      </c>
      <c r="P9" s="13">
        <f>'04_Deploy'!D19*'01_Assumptions'!$D$11</f>
        <v/>
      </c>
      <c r="Q9" s="13">
        <f>'04_Deploy'!D20*'01_Assumptions'!$D$11</f>
        <v/>
      </c>
      <c r="R9" s="13">
        <f>'04_Deploy'!D21*'01_Assumptions'!$D$11</f>
        <v/>
      </c>
      <c r="S9" s="13">
        <f>'04_Deploy'!D22*'01_Assumptions'!$D$11</f>
        <v/>
      </c>
      <c r="T9" s="13">
        <f>'04_Deploy'!D23*'01_Assumptions'!$D$11</f>
        <v/>
      </c>
      <c r="U9" s="13">
        <f>'04_Deploy'!D24*'01_Assumptions'!$D$11</f>
        <v/>
      </c>
      <c r="V9" s="13">
        <f>'04_Deploy'!D25*'01_Assumptions'!$D$11</f>
        <v/>
      </c>
      <c r="W9" s="13">
        <f>'04_Deploy'!D26*'01_Assumptions'!$D$11</f>
        <v/>
      </c>
      <c r="X9" s="13">
        <f>'04_Deploy'!D27*'01_Assumptions'!$D$11</f>
        <v/>
      </c>
      <c r="Y9" s="13">
        <f>'04_Deploy'!D28*'01_Assumptions'!$D$11</f>
        <v/>
      </c>
      <c r="Z9" s="13">
        <f>'04_Deploy'!D29*'01_Assumptions'!$D$11</f>
        <v/>
      </c>
      <c r="AA9" s="13">
        <f>SUM(C9:N9)</f>
        <v/>
      </c>
      <c r="AB9" s="13">
        <f>SUM(O9:Z9)</f>
        <v/>
      </c>
    </row>
    <row r="10">
      <c r="A10" s="1" t="n"/>
      <c r="B10" s="14" t="inlineStr">
        <is>
          <t>Travel Wall SaaS</t>
        </is>
      </c>
      <c r="C10" s="13">
        <f>'04_Deploy'!D6*'01_Assumptions'!$D$12</f>
        <v/>
      </c>
      <c r="D10" s="13">
        <f>'04_Deploy'!D7*'01_Assumptions'!$D$12</f>
        <v/>
      </c>
      <c r="E10" s="13">
        <f>'04_Deploy'!D8*'01_Assumptions'!$D$12</f>
        <v/>
      </c>
      <c r="F10" s="13">
        <f>'04_Deploy'!D9*'01_Assumptions'!$D$12</f>
        <v/>
      </c>
      <c r="G10" s="13">
        <f>'04_Deploy'!D10*'01_Assumptions'!$D$12</f>
        <v/>
      </c>
      <c r="H10" s="13">
        <f>'04_Deploy'!D11*'01_Assumptions'!$D$12</f>
        <v/>
      </c>
      <c r="I10" s="13">
        <f>'04_Deploy'!D12*'01_Assumptions'!$D$12</f>
        <v/>
      </c>
      <c r="J10" s="13">
        <f>'04_Deploy'!D13*'01_Assumptions'!$D$12</f>
        <v/>
      </c>
      <c r="K10" s="13">
        <f>'04_Deploy'!D14*'01_Assumptions'!$D$12</f>
        <v/>
      </c>
      <c r="L10" s="13">
        <f>'04_Deploy'!D15*'01_Assumptions'!$D$12</f>
        <v/>
      </c>
      <c r="M10" s="13">
        <f>'04_Deploy'!D16*'01_Assumptions'!$D$12</f>
        <v/>
      </c>
      <c r="N10" s="13">
        <f>'04_Deploy'!D17*'01_Assumptions'!$D$12</f>
        <v/>
      </c>
      <c r="O10" s="13">
        <f>'04_Deploy'!D18*'01_Assumptions'!$D$12</f>
        <v/>
      </c>
      <c r="P10" s="13">
        <f>'04_Deploy'!D19*'01_Assumptions'!$D$12</f>
        <v/>
      </c>
      <c r="Q10" s="13">
        <f>'04_Deploy'!D20*'01_Assumptions'!$D$12</f>
        <v/>
      </c>
      <c r="R10" s="13">
        <f>'04_Deploy'!D21*'01_Assumptions'!$D$12</f>
        <v/>
      </c>
      <c r="S10" s="13">
        <f>'04_Deploy'!D22*'01_Assumptions'!$D$12</f>
        <v/>
      </c>
      <c r="T10" s="13">
        <f>'04_Deploy'!D23*'01_Assumptions'!$D$12</f>
        <v/>
      </c>
      <c r="U10" s="13">
        <f>'04_Deploy'!D24*'01_Assumptions'!$D$12</f>
        <v/>
      </c>
      <c r="V10" s="13">
        <f>'04_Deploy'!D25*'01_Assumptions'!$D$12</f>
        <v/>
      </c>
      <c r="W10" s="13">
        <f>'04_Deploy'!D26*'01_Assumptions'!$D$12</f>
        <v/>
      </c>
      <c r="X10" s="13">
        <f>'04_Deploy'!D27*'01_Assumptions'!$D$12</f>
        <v/>
      </c>
      <c r="Y10" s="13">
        <f>'04_Deploy'!D28*'01_Assumptions'!$D$12</f>
        <v/>
      </c>
      <c r="Z10" s="13">
        <f>'04_Deploy'!D29*'01_Assumptions'!$D$12</f>
        <v/>
      </c>
      <c r="AA10" s="13">
        <f>SUM(C10:N10)</f>
        <v/>
      </c>
      <c r="AB10" s="13">
        <f>SUM(O10:Z10)</f>
        <v/>
      </c>
    </row>
    <row r="11">
      <c r="A11" s="1" t="n"/>
      <c r="B11" s="14" t="inlineStr">
        <is>
          <t>IoT Energy SaaS</t>
        </is>
      </c>
      <c r="C11" s="13">
        <f>'04_Deploy'!D6*'01_Assumptions'!$D$7*'01_Assumptions'!$D$13</f>
        <v/>
      </c>
      <c r="D11" s="13">
        <f>'04_Deploy'!D7*'01_Assumptions'!$D$7*'01_Assumptions'!$D$13</f>
        <v/>
      </c>
      <c r="E11" s="13">
        <f>'04_Deploy'!D8*'01_Assumptions'!$D$7*'01_Assumptions'!$D$13</f>
        <v/>
      </c>
      <c r="F11" s="13">
        <f>'04_Deploy'!D9*'01_Assumptions'!$D$7*'01_Assumptions'!$D$13</f>
        <v/>
      </c>
      <c r="G11" s="13">
        <f>'04_Deploy'!D10*'01_Assumptions'!$D$7*'01_Assumptions'!$D$13</f>
        <v/>
      </c>
      <c r="H11" s="13">
        <f>'04_Deploy'!D11*'01_Assumptions'!$D$7*'01_Assumptions'!$D$13</f>
        <v/>
      </c>
      <c r="I11" s="13">
        <f>'04_Deploy'!D12*'01_Assumptions'!$D$7*'01_Assumptions'!$D$13</f>
        <v/>
      </c>
      <c r="J11" s="13">
        <f>'04_Deploy'!D13*'01_Assumptions'!$D$7*'01_Assumptions'!$D$13</f>
        <v/>
      </c>
      <c r="K11" s="13">
        <f>'04_Deploy'!D14*'01_Assumptions'!$D$7*'01_Assumptions'!$D$13</f>
        <v/>
      </c>
      <c r="L11" s="13">
        <f>'04_Deploy'!D15*'01_Assumptions'!$D$7*'01_Assumptions'!$D$13</f>
        <v/>
      </c>
      <c r="M11" s="13">
        <f>'04_Deploy'!D16*'01_Assumptions'!$D$7*'01_Assumptions'!$D$13</f>
        <v/>
      </c>
      <c r="N11" s="13">
        <f>'04_Deploy'!D17*'01_Assumptions'!$D$7*'01_Assumptions'!$D$13</f>
        <v/>
      </c>
      <c r="O11" s="13">
        <f>'04_Deploy'!D18*'01_Assumptions'!$D$7*'01_Assumptions'!$D$13</f>
        <v/>
      </c>
      <c r="P11" s="13">
        <f>'04_Deploy'!D19*'01_Assumptions'!$D$7*'01_Assumptions'!$D$13</f>
        <v/>
      </c>
      <c r="Q11" s="13">
        <f>'04_Deploy'!D20*'01_Assumptions'!$D$7*'01_Assumptions'!$D$13</f>
        <v/>
      </c>
      <c r="R11" s="13">
        <f>'04_Deploy'!D21*'01_Assumptions'!$D$7*'01_Assumptions'!$D$13</f>
        <v/>
      </c>
      <c r="S11" s="13">
        <f>'04_Deploy'!D22*'01_Assumptions'!$D$7*'01_Assumptions'!$D$13</f>
        <v/>
      </c>
      <c r="T11" s="13">
        <f>'04_Deploy'!D23*'01_Assumptions'!$D$7*'01_Assumptions'!$D$13</f>
        <v/>
      </c>
      <c r="U11" s="13">
        <f>'04_Deploy'!D24*'01_Assumptions'!$D$7*'01_Assumptions'!$D$13</f>
        <v/>
      </c>
      <c r="V11" s="13">
        <f>'04_Deploy'!D25*'01_Assumptions'!$D$7*'01_Assumptions'!$D$13</f>
        <v/>
      </c>
      <c r="W11" s="13">
        <f>'04_Deploy'!D26*'01_Assumptions'!$D$7*'01_Assumptions'!$D$13</f>
        <v/>
      </c>
      <c r="X11" s="13">
        <f>'04_Deploy'!D27*'01_Assumptions'!$D$7*'01_Assumptions'!$D$13</f>
        <v/>
      </c>
      <c r="Y11" s="13">
        <f>'04_Deploy'!D28*'01_Assumptions'!$D$7*'01_Assumptions'!$D$13</f>
        <v/>
      </c>
      <c r="Z11" s="13">
        <f>'04_Deploy'!D29*'01_Assumptions'!$D$7*'01_Assumptions'!$D$13</f>
        <v/>
      </c>
      <c r="AA11" s="13">
        <f>SUM(C11:N11)</f>
        <v/>
      </c>
      <c r="AB11" s="13">
        <f>SUM(O11:Z11)</f>
        <v/>
      </c>
    </row>
    <row r="12">
      <c r="A12" s="1" t="n"/>
      <c r="B12" s="14" t="inlineStr">
        <is>
          <t>Transaction gross margin</t>
        </is>
      </c>
      <c r="C12" s="13">
        <f>'04_Deploy'!D6*'01_Assumptions'!$D$14</f>
        <v/>
      </c>
      <c r="D12" s="13">
        <f>'04_Deploy'!D7*'01_Assumptions'!$D$14</f>
        <v/>
      </c>
      <c r="E12" s="13">
        <f>'04_Deploy'!D8*'01_Assumptions'!$D$14</f>
        <v/>
      </c>
      <c r="F12" s="13">
        <f>'04_Deploy'!D9*'01_Assumptions'!$D$14</f>
        <v/>
      </c>
      <c r="G12" s="13">
        <f>'04_Deploy'!D10*'01_Assumptions'!$D$14</f>
        <v/>
      </c>
      <c r="H12" s="13">
        <f>'04_Deploy'!D11*'01_Assumptions'!$D$14</f>
        <v/>
      </c>
      <c r="I12" s="13">
        <f>'04_Deploy'!D12*'01_Assumptions'!$D$14</f>
        <v/>
      </c>
      <c r="J12" s="13">
        <f>'04_Deploy'!D13*'01_Assumptions'!$D$14</f>
        <v/>
      </c>
      <c r="K12" s="13">
        <f>'04_Deploy'!D14*'01_Assumptions'!$D$14</f>
        <v/>
      </c>
      <c r="L12" s="13">
        <f>'04_Deploy'!D15*'01_Assumptions'!$D$14</f>
        <v/>
      </c>
      <c r="M12" s="13">
        <f>'04_Deploy'!D16*'01_Assumptions'!$D$14</f>
        <v/>
      </c>
      <c r="N12" s="13">
        <f>'04_Deploy'!D17*'01_Assumptions'!$D$14</f>
        <v/>
      </c>
      <c r="O12" s="13">
        <f>'04_Deploy'!D18*'01_Assumptions'!$D$14</f>
        <v/>
      </c>
      <c r="P12" s="13">
        <f>'04_Deploy'!D19*'01_Assumptions'!$D$14</f>
        <v/>
      </c>
      <c r="Q12" s="13">
        <f>'04_Deploy'!D20*'01_Assumptions'!$D$14</f>
        <v/>
      </c>
      <c r="R12" s="13">
        <f>'04_Deploy'!D21*'01_Assumptions'!$D$14</f>
        <v/>
      </c>
      <c r="S12" s="13">
        <f>'04_Deploy'!D22*'01_Assumptions'!$D$14</f>
        <v/>
      </c>
      <c r="T12" s="13">
        <f>'04_Deploy'!D23*'01_Assumptions'!$D$14</f>
        <v/>
      </c>
      <c r="U12" s="13">
        <f>'04_Deploy'!D24*'01_Assumptions'!$D$14</f>
        <v/>
      </c>
      <c r="V12" s="13">
        <f>'04_Deploy'!D25*'01_Assumptions'!$D$14</f>
        <v/>
      </c>
      <c r="W12" s="13">
        <f>'04_Deploy'!D26*'01_Assumptions'!$D$14</f>
        <v/>
      </c>
      <c r="X12" s="13">
        <f>'04_Deploy'!D27*'01_Assumptions'!$D$14</f>
        <v/>
      </c>
      <c r="Y12" s="13">
        <f>'04_Deploy'!D28*'01_Assumptions'!$D$14</f>
        <v/>
      </c>
      <c r="Z12" s="13">
        <f>'04_Deploy'!D29*'01_Assumptions'!$D$14</f>
        <v/>
      </c>
      <c r="AA12" s="13">
        <f>SUM(C12:N12)</f>
        <v/>
      </c>
      <c r="AB12" s="13">
        <f>SUM(O12:Z12)</f>
        <v/>
      </c>
    </row>
    <row r="13">
      <c r="A13" s="1" t="n"/>
      <c r="B13" s="15" t="inlineStr">
        <is>
          <t>Total revenue</t>
        </is>
      </c>
      <c r="C13" s="13">
        <f>SUM(C7:C12)</f>
        <v/>
      </c>
      <c r="D13" s="13">
        <f>SUM(D7:D12)</f>
        <v/>
      </c>
      <c r="E13" s="13">
        <f>SUM(E7:E12)</f>
        <v/>
      </c>
      <c r="F13" s="13">
        <f>SUM(F7:F12)</f>
        <v/>
      </c>
      <c r="G13" s="13">
        <f>SUM(G7:G12)</f>
        <v/>
      </c>
      <c r="H13" s="13">
        <f>SUM(H7:H12)</f>
        <v/>
      </c>
      <c r="I13" s="13">
        <f>SUM(I7:I12)</f>
        <v/>
      </c>
      <c r="J13" s="13">
        <f>SUM(J7:J12)</f>
        <v/>
      </c>
      <c r="K13" s="13">
        <f>SUM(K7:K12)</f>
        <v/>
      </c>
      <c r="L13" s="13">
        <f>SUM(L7:L12)</f>
        <v/>
      </c>
      <c r="M13" s="13">
        <f>SUM(M7:M12)</f>
        <v/>
      </c>
      <c r="N13" s="13">
        <f>SUM(N7:N12)</f>
        <v/>
      </c>
      <c r="O13" s="13">
        <f>SUM(O7:O12)</f>
        <v/>
      </c>
      <c r="P13" s="13">
        <f>SUM(P7:P12)</f>
        <v/>
      </c>
      <c r="Q13" s="13">
        <f>SUM(Q7:Q12)</f>
        <v/>
      </c>
      <c r="R13" s="13">
        <f>SUM(R7:R12)</f>
        <v/>
      </c>
      <c r="S13" s="13">
        <f>SUM(S7:S12)</f>
        <v/>
      </c>
      <c r="T13" s="13">
        <f>SUM(T7:T12)</f>
        <v/>
      </c>
      <c r="U13" s="13">
        <f>SUM(U7:U12)</f>
        <v/>
      </c>
      <c r="V13" s="13">
        <f>SUM(V7:V12)</f>
        <v/>
      </c>
      <c r="W13" s="13">
        <f>SUM(W7:W12)</f>
        <v/>
      </c>
      <c r="X13" s="13">
        <f>SUM(X7:X12)</f>
        <v/>
      </c>
      <c r="Y13" s="13">
        <f>SUM(Y7:Y12)</f>
        <v/>
      </c>
      <c r="Z13" s="13">
        <f>SUM(Z7:Z12)</f>
        <v/>
      </c>
      <c r="AA13" s="13">
        <f>SUM(C13:N13)</f>
        <v/>
      </c>
      <c r="AB13" s="13">
        <f>SUM(O13:Z13)</f>
        <v/>
      </c>
    </row>
    <row r="14">
      <c r="A14" s="1" t="n"/>
      <c r="B14" s="14" t="inlineStr">
        <is>
          <t>Cloud/LLM/support</t>
        </is>
      </c>
      <c r="C14" s="13">
        <f>'04_Deploy'!D6*'01_Assumptions'!$D$15</f>
        <v/>
      </c>
      <c r="D14" s="13">
        <f>'04_Deploy'!D7*'01_Assumptions'!$D$15</f>
        <v/>
      </c>
      <c r="E14" s="13">
        <f>'04_Deploy'!D8*'01_Assumptions'!$D$15</f>
        <v/>
      </c>
      <c r="F14" s="13">
        <f>'04_Deploy'!D9*'01_Assumptions'!$D$15</f>
        <v/>
      </c>
      <c r="G14" s="13">
        <f>'04_Deploy'!D10*'01_Assumptions'!$D$15</f>
        <v/>
      </c>
      <c r="H14" s="13">
        <f>'04_Deploy'!D11*'01_Assumptions'!$D$15</f>
        <v/>
      </c>
      <c r="I14" s="13">
        <f>'04_Deploy'!D12*'01_Assumptions'!$D$15</f>
        <v/>
      </c>
      <c r="J14" s="13">
        <f>'04_Deploy'!D13*'01_Assumptions'!$D$15</f>
        <v/>
      </c>
      <c r="K14" s="13">
        <f>'04_Deploy'!D14*'01_Assumptions'!$D$15</f>
        <v/>
      </c>
      <c r="L14" s="13">
        <f>'04_Deploy'!D15*'01_Assumptions'!$D$15</f>
        <v/>
      </c>
      <c r="M14" s="13">
        <f>'04_Deploy'!D16*'01_Assumptions'!$D$15</f>
        <v/>
      </c>
      <c r="N14" s="13">
        <f>'04_Deploy'!D17*'01_Assumptions'!$D$15</f>
        <v/>
      </c>
      <c r="O14" s="13">
        <f>'04_Deploy'!D18*'01_Assumptions'!$D$15</f>
        <v/>
      </c>
      <c r="P14" s="13">
        <f>'04_Deploy'!D19*'01_Assumptions'!$D$15</f>
        <v/>
      </c>
      <c r="Q14" s="13">
        <f>'04_Deploy'!D20*'01_Assumptions'!$D$15</f>
        <v/>
      </c>
      <c r="R14" s="13">
        <f>'04_Deploy'!D21*'01_Assumptions'!$D$15</f>
        <v/>
      </c>
      <c r="S14" s="13">
        <f>'04_Deploy'!D22*'01_Assumptions'!$D$15</f>
        <v/>
      </c>
      <c r="T14" s="13">
        <f>'04_Deploy'!D23*'01_Assumptions'!$D$15</f>
        <v/>
      </c>
      <c r="U14" s="13">
        <f>'04_Deploy'!D24*'01_Assumptions'!$D$15</f>
        <v/>
      </c>
      <c r="V14" s="13">
        <f>'04_Deploy'!D25*'01_Assumptions'!$D$15</f>
        <v/>
      </c>
      <c r="W14" s="13">
        <f>'04_Deploy'!D26*'01_Assumptions'!$D$15</f>
        <v/>
      </c>
      <c r="X14" s="13">
        <f>'04_Deploy'!D27*'01_Assumptions'!$D$15</f>
        <v/>
      </c>
      <c r="Y14" s="13">
        <f>'04_Deploy'!D28*'01_Assumptions'!$D$15</f>
        <v/>
      </c>
      <c r="Z14" s="13">
        <f>'04_Deploy'!D29*'01_Assumptions'!$D$15</f>
        <v/>
      </c>
      <c r="AA14" s="13">
        <f>SUM(C14:N14)</f>
        <v/>
      </c>
      <c r="AB14" s="13">
        <f>SUM(O14:Z14)</f>
        <v/>
      </c>
    </row>
    <row r="15">
      <c r="A15" s="1" t="n"/>
      <c r="B15" s="14" t="inlineStr">
        <is>
          <t>Hardware replacement reserve</t>
        </is>
      </c>
      <c r="C15" s="13">
        <f>'04_Deploy'!I6*'01_Assumptions'!$D$16</f>
        <v/>
      </c>
      <c r="D15" s="13">
        <f>'04_Deploy'!I7*'01_Assumptions'!$D$16</f>
        <v/>
      </c>
      <c r="E15" s="13">
        <f>'04_Deploy'!I8*'01_Assumptions'!$D$16</f>
        <v/>
      </c>
      <c r="F15" s="13">
        <f>'04_Deploy'!I9*'01_Assumptions'!$D$16</f>
        <v/>
      </c>
      <c r="G15" s="13">
        <f>'04_Deploy'!I10*'01_Assumptions'!$D$16</f>
        <v/>
      </c>
      <c r="H15" s="13">
        <f>'04_Deploy'!I11*'01_Assumptions'!$D$16</f>
        <v/>
      </c>
      <c r="I15" s="13">
        <f>'04_Deploy'!I12*'01_Assumptions'!$D$16</f>
        <v/>
      </c>
      <c r="J15" s="13">
        <f>'04_Deploy'!I13*'01_Assumptions'!$D$16</f>
        <v/>
      </c>
      <c r="K15" s="13">
        <f>'04_Deploy'!I14*'01_Assumptions'!$D$16</f>
        <v/>
      </c>
      <c r="L15" s="13">
        <f>'04_Deploy'!I15*'01_Assumptions'!$D$16</f>
        <v/>
      </c>
      <c r="M15" s="13">
        <f>'04_Deploy'!I16*'01_Assumptions'!$D$16</f>
        <v/>
      </c>
      <c r="N15" s="13">
        <f>'04_Deploy'!I17*'01_Assumptions'!$D$16</f>
        <v/>
      </c>
      <c r="O15" s="13">
        <f>'04_Deploy'!I18*'01_Assumptions'!$D$16</f>
        <v/>
      </c>
      <c r="P15" s="13">
        <f>'04_Deploy'!I19*'01_Assumptions'!$D$16</f>
        <v/>
      </c>
      <c r="Q15" s="13">
        <f>'04_Deploy'!I20*'01_Assumptions'!$D$16</f>
        <v/>
      </c>
      <c r="R15" s="13">
        <f>'04_Deploy'!I21*'01_Assumptions'!$D$16</f>
        <v/>
      </c>
      <c r="S15" s="13">
        <f>'04_Deploy'!I22*'01_Assumptions'!$D$16</f>
        <v/>
      </c>
      <c r="T15" s="13">
        <f>'04_Deploy'!I23*'01_Assumptions'!$D$16</f>
        <v/>
      </c>
      <c r="U15" s="13">
        <f>'04_Deploy'!I24*'01_Assumptions'!$D$16</f>
        <v/>
      </c>
      <c r="V15" s="13">
        <f>'04_Deploy'!I25*'01_Assumptions'!$D$16</f>
        <v/>
      </c>
      <c r="W15" s="13">
        <f>'04_Deploy'!I26*'01_Assumptions'!$D$16</f>
        <v/>
      </c>
      <c r="X15" s="13">
        <f>'04_Deploy'!I27*'01_Assumptions'!$D$16</f>
        <v/>
      </c>
      <c r="Y15" s="13">
        <f>'04_Deploy'!I28*'01_Assumptions'!$D$16</f>
        <v/>
      </c>
      <c r="Z15" s="13">
        <f>'04_Deploy'!I29*'01_Assumptions'!$D$16</f>
        <v/>
      </c>
      <c r="AA15" s="13">
        <f>SUM(C15:N15)</f>
        <v/>
      </c>
      <c r="AB15" s="13">
        <f>SUM(O15:Z15)</f>
        <v/>
      </c>
    </row>
    <row r="16">
      <c r="A16" s="1" t="n"/>
      <c r="B16" s="14" t="inlineStr">
        <is>
          <t>Total COGS</t>
        </is>
      </c>
      <c r="C16" s="13">
        <f>SUM(C14:C15)</f>
        <v/>
      </c>
      <c r="D16" s="13">
        <f>SUM(D14:D15)</f>
        <v/>
      </c>
      <c r="E16" s="13">
        <f>SUM(E14:E15)</f>
        <v/>
      </c>
      <c r="F16" s="13">
        <f>SUM(F14:F15)</f>
        <v/>
      </c>
      <c r="G16" s="13">
        <f>SUM(G14:G15)</f>
        <v/>
      </c>
      <c r="H16" s="13">
        <f>SUM(H14:H15)</f>
        <v/>
      </c>
      <c r="I16" s="13">
        <f>SUM(I14:I15)</f>
        <v/>
      </c>
      <c r="J16" s="13">
        <f>SUM(J14:J15)</f>
        <v/>
      </c>
      <c r="K16" s="13">
        <f>SUM(K14:K15)</f>
        <v/>
      </c>
      <c r="L16" s="13">
        <f>SUM(L14:L15)</f>
        <v/>
      </c>
      <c r="M16" s="13">
        <f>SUM(M14:M15)</f>
        <v/>
      </c>
      <c r="N16" s="13">
        <f>SUM(N14:N15)</f>
        <v/>
      </c>
      <c r="O16" s="13">
        <f>SUM(O14:O15)</f>
        <v/>
      </c>
      <c r="P16" s="13">
        <f>SUM(P14:P15)</f>
        <v/>
      </c>
      <c r="Q16" s="13">
        <f>SUM(Q14:Q15)</f>
        <v/>
      </c>
      <c r="R16" s="13">
        <f>SUM(R14:R15)</f>
        <v/>
      </c>
      <c r="S16" s="13">
        <f>SUM(S14:S15)</f>
        <v/>
      </c>
      <c r="T16" s="13">
        <f>SUM(T14:T15)</f>
        <v/>
      </c>
      <c r="U16" s="13">
        <f>SUM(U14:U15)</f>
        <v/>
      </c>
      <c r="V16" s="13">
        <f>SUM(V14:V15)</f>
        <v/>
      </c>
      <c r="W16" s="13">
        <f>SUM(W14:W15)</f>
        <v/>
      </c>
      <c r="X16" s="13">
        <f>SUM(X14:X15)</f>
        <v/>
      </c>
      <c r="Y16" s="13">
        <f>SUM(Y14:Y15)</f>
        <v/>
      </c>
      <c r="Z16" s="13">
        <f>SUM(Z14:Z15)</f>
        <v/>
      </c>
      <c r="AA16" s="13">
        <f>SUM(C16:N16)</f>
        <v/>
      </c>
      <c r="AB16" s="13">
        <f>SUM(O16:Z16)</f>
        <v/>
      </c>
    </row>
    <row r="17">
      <c r="A17" s="1" t="n"/>
      <c r="B17" s="15" t="inlineStr">
        <is>
          <t>Gross profit</t>
        </is>
      </c>
      <c r="C17" s="13">
        <f>SUM(C7:C13)-C16</f>
        <v/>
      </c>
      <c r="D17" s="13">
        <f>SUM(D7:D13)-D16</f>
        <v/>
      </c>
      <c r="E17" s="13">
        <f>SUM(E7:E13)-E16</f>
        <v/>
      </c>
      <c r="F17" s="13">
        <f>SUM(F7:F13)-F16</f>
        <v/>
      </c>
      <c r="G17" s="13">
        <f>SUM(G7:G13)-G16</f>
        <v/>
      </c>
      <c r="H17" s="13">
        <f>SUM(H7:H13)-H16</f>
        <v/>
      </c>
      <c r="I17" s="13">
        <f>SUM(I7:I13)-I16</f>
        <v/>
      </c>
      <c r="J17" s="13">
        <f>SUM(J7:J13)-J16</f>
        <v/>
      </c>
      <c r="K17" s="13">
        <f>SUM(K7:K13)-K16</f>
        <v/>
      </c>
      <c r="L17" s="13">
        <f>SUM(L7:L13)-L16</f>
        <v/>
      </c>
      <c r="M17" s="13">
        <f>SUM(M7:M13)-M16</f>
        <v/>
      </c>
      <c r="N17" s="13">
        <f>SUM(N7:N13)-N16</f>
        <v/>
      </c>
      <c r="O17" s="13">
        <f>SUM(O7:O13)-O16</f>
        <v/>
      </c>
      <c r="P17" s="13">
        <f>SUM(P7:P13)-P16</f>
        <v/>
      </c>
      <c r="Q17" s="13">
        <f>SUM(Q7:Q13)-Q16</f>
        <v/>
      </c>
      <c r="R17" s="13">
        <f>SUM(R7:R13)-R16</f>
        <v/>
      </c>
      <c r="S17" s="13">
        <f>SUM(S7:S13)-S16</f>
        <v/>
      </c>
      <c r="T17" s="13">
        <f>SUM(T7:T13)-T16</f>
        <v/>
      </c>
      <c r="U17" s="13">
        <f>SUM(U7:U13)-U16</f>
        <v/>
      </c>
      <c r="V17" s="13">
        <f>SUM(V7:V13)-V16</f>
        <v/>
      </c>
      <c r="W17" s="13">
        <f>SUM(W7:W13)-W16</f>
        <v/>
      </c>
      <c r="X17" s="13">
        <f>SUM(X7:X13)-X16</f>
        <v/>
      </c>
      <c r="Y17" s="13">
        <f>SUM(Y7:Y13)-Y16</f>
        <v/>
      </c>
      <c r="Z17" s="13">
        <f>SUM(Z7:Z13)-Z16</f>
        <v/>
      </c>
      <c r="AA17" s="13">
        <f>SUM(C17:N17)</f>
        <v/>
      </c>
      <c r="AB17" s="13">
        <f>SUM(O17:Z17)</f>
        <v/>
      </c>
    </row>
    <row r="18">
      <c r="A18" s="1" t="n"/>
      <c r="B18" s="14" t="inlineStr">
        <is>
          <t>Payroll/contractors</t>
        </is>
      </c>
      <c r="C18" s="13">
        <f>'01_Assumptions'!$D$19*(1+IF(C$5="M1",0,IF(COLUMN()&lt;=14,0,'01_Assumptions'!$D$22))</f>
        <v/>
      </c>
      <c r="D18" s="13">
        <f>'01_Assumptions'!$D$19*(1+IF(D$5="M1",0,IF(COLUMN()&lt;=14,0,'01_Assumptions'!$D$22))</f>
        <v/>
      </c>
      <c r="E18" s="13">
        <f>'01_Assumptions'!$D$19*(1+IF(E$5="M1",0,IF(COLUMN()&lt;=14,0,'01_Assumptions'!$D$22))</f>
        <v/>
      </c>
      <c r="F18" s="13">
        <f>'01_Assumptions'!$D$19*(1+IF(F$5="M1",0,IF(COLUMN()&lt;=14,0,'01_Assumptions'!$D$22))</f>
        <v/>
      </c>
      <c r="G18" s="13">
        <f>'01_Assumptions'!$D$19*(1+IF(G$5="M1",0,IF(COLUMN()&lt;=14,0,'01_Assumptions'!$D$22))</f>
        <v/>
      </c>
      <c r="H18" s="13">
        <f>'01_Assumptions'!$D$19*(1+IF(H$5="M1",0,IF(COLUMN()&lt;=14,0,'01_Assumptions'!$D$22))</f>
        <v/>
      </c>
      <c r="I18" s="13">
        <f>'01_Assumptions'!$D$19*(1+IF(I$5="M1",0,IF(COLUMN()&lt;=14,0,'01_Assumptions'!$D$22))</f>
        <v/>
      </c>
      <c r="J18" s="13">
        <f>'01_Assumptions'!$D$19*(1+IF(J$5="M1",0,IF(COLUMN()&lt;=14,0,'01_Assumptions'!$D$22))</f>
        <v/>
      </c>
      <c r="K18" s="13">
        <f>'01_Assumptions'!$D$19*(1+IF(K$5="M1",0,IF(COLUMN()&lt;=14,0,'01_Assumptions'!$D$22))</f>
        <v/>
      </c>
      <c r="L18" s="13">
        <f>'01_Assumptions'!$D$19*(1+IF(L$5="M1",0,IF(COLUMN()&lt;=14,0,'01_Assumptions'!$D$22))</f>
        <v/>
      </c>
      <c r="M18" s="13">
        <f>'01_Assumptions'!$D$19*(1+IF(M$5="M1",0,IF(COLUMN()&lt;=14,0,'01_Assumptions'!$D$22))</f>
        <v/>
      </c>
      <c r="N18" s="13">
        <f>'01_Assumptions'!$D$19*(1+IF(N$5="M1",0,IF(COLUMN()&lt;=14,0,'01_Assumptions'!$D$22))</f>
        <v/>
      </c>
      <c r="O18" s="13">
        <f>'01_Assumptions'!$D$19*(1+IF(O$5="M1",0,IF(COLUMN()&lt;=14,0,'01_Assumptions'!$D$22))</f>
        <v/>
      </c>
      <c r="P18" s="13">
        <f>'01_Assumptions'!$D$19*(1+IF(P$5="M1",0,IF(COLUMN()&lt;=14,0,'01_Assumptions'!$D$22))</f>
        <v/>
      </c>
      <c r="Q18" s="13">
        <f>'01_Assumptions'!$D$19*(1+IF(Q$5="M1",0,IF(COLUMN()&lt;=14,0,'01_Assumptions'!$D$22))</f>
        <v/>
      </c>
      <c r="R18" s="13">
        <f>'01_Assumptions'!$D$19*(1+IF(R$5="M1",0,IF(COLUMN()&lt;=14,0,'01_Assumptions'!$D$22))</f>
        <v/>
      </c>
      <c r="S18" s="13">
        <f>'01_Assumptions'!$D$19*(1+IF(S$5="M1",0,IF(COLUMN()&lt;=14,0,'01_Assumptions'!$D$22))</f>
        <v/>
      </c>
      <c r="T18" s="13">
        <f>'01_Assumptions'!$D$19*(1+IF(T$5="M1",0,IF(COLUMN()&lt;=14,0,'01_Assumptions'!$D$22))</f>
        <v/>
      </c>
      <c r="U18" s="13">
        <f>'01_Assumptions'!$D$19*(1+IF(U$5="M1",0,IF(COLUMN()&lt;=14,0,'01_Assumptions'!$D$22))</f>
        <v/>
      </c>
      <c r="V18" s="13">
        <f>'01_Assumptions'!$D$19*(1+IF(V$5="M1",0,IF(COLUMN()&lt;=14,0,'01_Assumptions'!$D$22))</f>
        <v/>
      </c>
      <c r="W18" s="13">
        <f>'01_Assumptions'!$D$19*(1+IF(W$5="M1",0,IF(COLUMN()&lt;=14,0,'01_Assumptions'!$D$22))</f>
        <v/>
      </c>
      <c r="X18" s="13">
        <f>'01_Assumptions'!$D$19*(1+IF(X$5="M1",0,IF(COLUMN()&lt;=14,0,'01_Assumptions'!$D$22))</f>
        <v/>
      </c>
      <c r="Y18" s="13">
        <f>'01_Assumptions'!$D$19*(1+IF(Y$5="M1",0,IF(COLUMN()&lt;=14,0,'01_Assumptions'!$D$22))</f>
        <v/>
      </c>
      <c r="Z18" s="13">
        <f>'01_Assumptions'!$D$19*(1+IF(Z$5="M1",0,IF(COLUMN()&lt;=14,0,'01_Assumptions'!$D$22))</f>
        <v/>
      </c>
      <c r="AA18" s="13">
        <f>SUM(C18:N18)</f>
        <v/>
      </c>
      <c r="AB18" s="13">
        <f>SUM(O18:Z18)</f>
        <v/>
      </c>
    </row>
    <row r="19">
      <c r="A19" s="1" t="n"/>
      <c r="B19" s="14" t="inlineStr">
        <is>
          <t>Sales &amp; marketing</t>
        </is>
      </c>
      <c r="C19" s="13">
        <f>'01_Assumptions'!$D$20*(1+IF(COLUMN()&lt;=14,0,'01_Assumptions'!$D$22))</f>
        <v/>
      </c>
      <c r="D19" s="13">
        <f>'01_Assumptions'!$D$20*(1+IF(COLUMN()&lt;=14,0,'01_Assumptions'!$D$22))</f>
        <v/>
      </c>
      <c r="E19" s="13">
        <f>'01_Assumptions'!$D$20*(1+IF(COLUMN()&lt;=14,0,'01_Assumptions'!$D$22))</f>
        <v/>
      </c>
      <c r="F19" s="13">
        <f>'01_Assumptions'!$D$20*(1+IF(COLUMN()&lt;=14,0,'01_Assumptions'!$D$22))</f>
        <v/>
      </c>
      <c r="G19" s="13">
        <f>'01_Assumptions'!$D$20*(1+IF(COLUMN()&lt;=14,0,'01_Assumptions'!$D$22))</f>
        <v/>
      </c>
      <c r="H19" s="13">
        <f>'01_Assumptions'!$D$20*(1+IF(COLUMN()&lt;=14,0,'01_Assumptions'!$D$22))</f>
        <v/>
      </c>
      <c r="I19" s="13">
        <f>'01_Assumptions'!$D$20*(1+IF(COLUMN()&lt;=14,0,'01_Assumptions'!$D$22))</f>
        <v/>
      </c>
      <c r="J19" s="13">
        <f>'01_Assumptions'!$D$20*(1+IF(COLUMN()&lt;=14,0,'01_Assumptions'!$D$22))</f>
        <v/>
      </c>
      <c r="K19" s="13">
        <f>'01_Assumptions'!$D$20*(1+IF(COLUMN()&lt;=14,0,'01_Assumptions'!$D$22))</f>
        <v/>
      </c>
      <c r="L19" s="13">
        <f>'01_Assumptions'!$D$20*(1+IF(COLUMN()&lt;=14,0,'01_Assumptions'!$D$22))</f>
        <v/>
      </c>
      <c r="M19" s="13">
        <f>'01_Assumptions'!$D$20*(1+IF(COLUMN()&lt;=14,0,'01_Assumptions'!$D$22))</f>
        <v/>
      </c>
      <c r="N19" s="13">
        <f>'01_Assumptions'!$D$20*(1+IF(COLUMN()&lt;=14,0,'01_Assumptions'!$D$22))</f>
        <v/>
      </c>
      <c r="O19" s="13">
        <f>'01_Assumptions'!$D$20*(1+IF(COLUMN()&lt;=14,0,'01_Assumptions'!$D$22))</f>
        <v/>
      </c>
      <c r="P19" s="13">
        <f>'01_Assumptions'!$D$20*(1+IF(COLUMN()&lt;=14,0,'01_Assumptions'!$D$22))</f>
        <v/>
      </c>
      <c r="Q19" s="13">
        <f>'01_Assumptions'!$D$20*(1+IF(COLUMN()&lt;=14,0,'01_Assumptions'!$D$22))</f>
        <v/>
      </c>
      <c r="R19" s="13">
        <f>'01_Assumptions'!$D$20*(1+IF(COLUMN()&lt;=14,0,'01_Assumptions'!$D$22))</f>
        <v/>
      </c>
      <c r="S19" s="13">
        <f>'01_Assumptions'!$D$20*(1+IF(COLUMN()&lt;=14,0,'01_Assumptions'!$D$22))</f>
        <v/>
      </c>
      <c r="T19" s="13">
        <f>'01_Assumptions'!$D$20*(1+IF(COLUMN()&lt;=14,0,'01_Assumptions'!$D$22))</f>
        <v/>
      </c>
      <c r="U19" s="13">
        <f>'01_Assumptions'!$D$20*(1+IF(COLUMN()&lt;=14,0,'01_Assumptions'!$D$22))</f>
        <v/>
      </c>
      <c r="V19" s="13">
        <f>'01_Assumptions'!$D$20*(1+IF(COLUMN()&lt;=14,0,'01_Assumptions'!$D$22))</f>
        <v/>
      </c>
      <c r="W19" s="13">
        <f>'01_Assumptions'!$D$20*(1+IF(COLUMN()&lt;=14,0,'01_Assumptions'!$D$22))</f>
        <v/>
      </c>
      <c r="X19" s="13">
        <f>'01_Assumptions'!$D$20*(1+IF(COLUMN()&lt;=14,0,'01_Assumptions'!$D$22))</f>
        <v/>
      </c>
      <c r="Y19" s="13">
        <f>'01_Assumptions'!$D$20*(1+IF(COLUMN()&lt;=14,0,'01_Assumptions'!$D$22))</f>
        <v/>
      </c>
      <c r="Z19" s="13">
        <f>'01_Assumptions'!$D$20*(1+IF(COLUMN()&lt;=14,0,'01_Assumptions'!$D$22))</f>
        <v/>
      </c>
      <c r="AA19" s="13">
        <f>SUM(C19:N19)</f>
        <v/>
      </c>
      <c r="AB19" s="13">
        <f>SUM(O19:Z19)</f>
        <v/>
      </c>
    </row>
    <row r="20">
      <c r="A20" s="1" t="n"/>
      <c r="B20" s="14" t="inlineStr">
        <is>
          <t>G&amp;A/legal/insurance</t>
        </is>
      </c>
      <c r="C20" s="13">
        <f>'01_Assumptions'!$D$21*(1+IF(COLUMN()&lt;=14,0,'01_Assumptions'!$D$22))</f>
        <v/>
      </c>
      <c r="D20" s="13">
        <f>'01_Assumptions'!$D$21*(1+IF(COLUMN()&lt;=14,0,'01_Assumptions'!$D$22))</f>
        <v/>
      </c>
      <c r="E20" s="13">
        <f>'01_Assumptions'!$D$21*(1+IF(COLUMN()&lt;=14,0,'01_Assumptions'!$D$22))</f>
        <v/>
      </c>
      <c r="F20" s="13">
        <f>'01_Assumptions'!$D$21*(1+IF(COLUMN()&lt;=14,0,'01_Assumptions'!$D$22))</f>
        <v/>
      </c>
      <c r="G20" s="13">
        <f>'01_Assumptions'!$D$21*(1+IF(COLUMN()&lt;=14,0,'01_Assumptions'!$D$22))</f>
        <v/>
      </c>
      <c r="H20" s="13">
        <f>'01_Assumptions'!$D$21*(1+IF(COLUMN()&lt;=14,0,'01_Assumptions'!$D$22))</f>
        <v/>
      </c>
      <c r="I20" s="13">
        <f>'01_Assumptions'!$D$21*(1+IF(COLUMN()&lt;=14,0,'01_Assumptions'!$D$22))</f>
        <v/>
      </c>
      <c r="J20" s="13">
        <f>'01_Assumptions'!$D$21*(1+IF(COLUMN()&lt;=14,0,'01_Assumptions'!$D$22))</f>
        <v/>
      </c>
      <c r="K20" s="13">
        <f>'01_Assumptions'!$D$21*(1+IF(COLUMN()&lt;=14,0,'01_Assumptions'!$D$22))</f>
        <v/>
      </c>
      <c r="L20" s="13">
        <f>'01_Assumptions'!$D$21*(1+IF(COLUMN()&lt;=14,0,'01_Assumptions'!$D$22))</f>
        <v/>
      </c>
      <c r="M20" s="13">
        <f>'01_Assumptions'!$D$21*(1+IF(COLUMN()&lt;=14,0,'01_Assumptions'!$D$22))</f>
        <v/>
      </c>
      <c r="N20" s="13">
        <f>'01_Assumptions'!$D$21*(1+IF(COLUMN()&lt;=14,0,'01_Assumptions'!$D$22))</f>
        <v/>
      </c>
      <c r="O20" s="13">
        <f>'01_Assumptions'!$D$21*(1+IF(COLUMN()&lt;=14,0,'01_Assumptions'!$D$22))</f>
        <v/>
      </c>
      <c r="P20" s="13">
        <f>'01_Assumptions'!$D$21*(1+IF(COLUMN()&lt;=14,0,'01_Assumptions'!$D$22))</f>
        <v/>
      </c>
      <c r="Q20" s="13">
        <f>'01_Assumptions'!$D$21*(1+IF(COLUMN()&lt;=14,0,'01_Assumptions'!$D$22))</f>
        <v/>
      </c>
      <c r="R20" s="13">
        <f>'01_Assumptions'!$D$21*(1+IF(COLUMN()&lt;=14,0,'01_Assumptions'!$D$22))</f>
        <v/>
      </c>
      <c r="S20" s="13">
        <f>'01_Assumptions'!$D$21*(1+IF(COLUMN()&lt;=14,0,'01_Assumptions'!$D$22))</f>
        <v/>
      </c>
      <c r="T20" s="13">
        <f>'01_Assumptions'!$D$21*(1+IF(COLUMN()&lt;=14,0,'01_Assumptions'!$D$22))</f>
        <v/>
      </c>
      <c r="U20" s="13">
        <f>'01_Assumptions'!$D$21*(1+IF(COLUMN()&lt;=14,0,'01_Assumptions'!$D$22))</f>
        <v/>
      </c>
      <c r="V20" s="13">
        <f>'01_Assumptions'!$D$21*(1+IF(COLUMN()&lt;=14,0,'01_Assumptions'!$D$22))</f>
        <v/>
      </c>
      <c r="W20" s="13">
        <f>'01_Assumptions'!$D$21*(1+IF(COLUMN()&lt;=14,0,'01_Assumptions'!$D$22))</f>
        <v/>
      </c>
      <c r="X20" s="13">
        <f>'01_Assumptions'!$D$21*(1+IF(COLUMN()&lt;=14,0,'01_Assumptions'!$D$22))</f>
        <v/>
      </c>
      <c r="Y20" s="13">
        <f>'01_Assumptions'!$D$21*(1+IF(COLUMN()&lt;=14,0,'01_Assumptions'!$D$22))</f>
        <v/>
      </c>
      <c r="Z20" s="13">
        <f>'01_Assumptions'!$D$21*(1+IF(COLUMN()&lt;=14,0,'01_Assumptions'!$D$22))</f>
        <v/>
      </c>
      <c r="AA20" s="13">
        <f>SUM(C20:N20)</f>
        <v/>
      </c>
      <c r="AB20" s="13">
        <f>SUM(O20:Z20)</f>
        <v/>
      </c>
    </row>
    <row r="21">
      <c r="A21" s="1" t="n"/>
      <c r="B21" s="15" t="inlineStr">
        <is>
          <t>Total OPEX</t>
        </is>
      </c>
      <c r="C21" s="13">
        <f>SUM(C18:C20)</f>
        <v/>
      </c>
      <c r="D21" s="13">
        <f>SUM(D18:D20)</f>
        <v/>
      </c>
      <c r="E21" s="13">
        <f>SUM(E18:E20)</f>
        <v/>
      </c>
      <c r="F21" s="13">
        <f>SUM(F18:F20)</f>
        <v/>
      </c>
      <c r="G21" s="13">
        <f>SUM(G18:G20)</f>
        <v/>
      </c>
      <c r="H21" s="13">
        <f>SUM(H18:H20)</f>
        <v/>
      </c>
      <c r="I21" s="13">
        <f>SUM(I18:I20)</f>
        <v/>
      </c>
      <c r="J21" s="13">
        <f>SUM(J18:J20)</f>
        <v/>
      </c>
      <c r="K21" s="13">
        <f>SUM(K18:K20)</f>
        <v/>
      </c>
      <c r="L21" s="13">
        <f>SUM(L18:L20)</f>
        <v/>
      </c>
      <c r="M21" s="13">
        <f>SUM(M18:M20)</f>
        <v/>
      </c>
      <c r="N21" s="13">
        <f>SUM(N18:N20)</f>
        <v/>
      </c>
      <c r="O21" s="13">
        <f>SUM(O18:O20)</f>
        <v/>
      </c>
      <c r="P21" s="13">
        <f>SUM(P18:P20)</f>
        <v/>
      </c>
      <c r="Q21" s="13">
        <f>SUM(Q18:Q20)</f>
        <v/>
      </c>
      <c r="R21" s="13">
        <f>SUM(R18:R20)</f>
        <v/>
      </c>
      <c r="S21" s="13">
        <f>SUM(S18:S20)</f>
        <v/>
      </c>
      <c r="T21" s="13">
        <f>SUM(T18:T20)</f>
        <v/>
      </c>
      <c r="U21" s="13">
        <f>SUM(U18:U20)</f>
        <v/>
      </c>
      <c r="V21" s="13">
        <f>SUM(V18:V20)</f>
        <v/>
      </c>
      <c r="W21" s="13">
        <f>SUM(W18:W20)</f>
        <v/>
      </c>
      <c r="X21" s="13">
        <f>SUM(X18:X20)</f>
        <v/>
      </c>
      <c r="Y21" s="13">
        <f>SUM(Y18:Y20)</f>
        <v/>
      </c>
      <c r="Z21" s="13">
        <f>SUM(Z18:Z20)</f>
        <v/>
      </c>
      <c r="AA21" s="13">
        <f>SUM(C21:N21)</f>
        <v/>
      </c>
      <c r="AB21" s="13">
        <f>SUM(O21:Z21)</f>
        <v/>
      </c>
    </row>
    <row r="22">
      <c r="A22" s="1" t="n"/>
      <c r="B22" s="15" t="inlineStr">
        <is>
          <t>EBITDA</t>
        </is>
      </c>
      <c r="C22" s="13">
        <f>C17-C21</f>
        <v/>
      </c>
      <c r="D22" s="13">
        <f>D17-D21</f>
        <v/>
      </c>
      <c r="E22" s="13">
        <f>E17-E21</f>
        <v/>
      </c>
      <c r="F22" s="13">
        <f>F17-F21</f>
        <v/>
      </c>
      <c r="G22" s="13">
        <f>G17-G21</f>
        <v/>
      </c>
      <c r="H22" s="13">
        <f>H17-H21</f>
        <v/>
      </c>
      <c r="I22" s="13">
        <f>I17-I21</f>
        <v/>
      </c>
      <c r="J22" s="13">
        <f>J17-J21</f>
        <v/>
      </c>
      <c r="K22" s="13">
        <f>K17-K21</f>
        <v/>
      </c>
      <c r="L22" s="13">
        <f>L17-L21</f>
        <v/>
      </c>
      <c r="M22" s="13">
        <f>M17-M21</f>
        <v/>
      </c>
      <c r="N22" s="13">
        <f>N17-N21</f>
        <v/>
      </c>
      <c r="O22" s="13">
        <f>O17-O21</f>
        <v/>
      </c>
      <c r="P22" s="13">
        <f>P17-P21</f>
        <v/>
      </c>
      <c r="Q22" s="13">
        <f>Q17-Q21</f>
        <v/>
      </c>
      <c r="R22" s="13">
        <f>R17-R21</f>
        <v/>
      </c>
      <c r="S22" s="13">
        <f>S17-S21</f>
        <v/>
      </c>
      <c r="T22" s="13">
        <f>T17-T21</f>
        <v/>
      </c>
      <c r="U22" s="13">
        <f>U17-U21</f>
        <v/>
      </c>
      <c r="V22" s="13">
        <f>V17-V21</f>
        <v/>
      </c>
      <c r="W22" s="13">
        <f>W17-W21</f>
        <v/>
      </c>
      <c r="X22" s="13">
        <f>X17-X21</f>
        <v/>
      </c>
      <c r="Y22" s="13">
        <f>Y17-Y21</f>
        <v/>
      </c>
      <c r="Z22" s="13">
        <f>Z17-Z21</f>
        <v/>
      </c>
      <c r="AA22" s="13">
        <f>SUM(C22:N22)</f>
        <v/>
      </c>
      <c r="AB22" s="13">
        <f>SUM(O22:Z22)</f>
        <v/>
      </c>
    </row>
  </sheetData>
  <mergeCells count="2">
    <mergeCell ref="B3:AA3"/>
    <mergeCell ref="B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6" customHeight="1">
      <c r="A2" s="1" t="n"/>
      <c r="B2" s="2" t="inlineStr">
        <is>
          <t>Cash flow / Flusso di cassa / Cash Flow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30" customHeight="1">
      <c r="A3" s="1" t="n"/>
      <c r="B3" s="3" t="inlineStr">
        <is>
          <t>Working-capital-aware monthly cash forecast. Funding need is the maximum cumulative deficit.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n"/>
      <c r="B5" s="10" t="inlineStr">
        <is>
          <t>Line item</t>
        </is>
      </c>
      <c r="C5" s="10" t="inlineStr">
        <is>
          <t>M1</t>
        </is>
      </c>
      <c r="D5" s="10" t="inlineStr">
        <is>
          <t>M2</t>
        </is>
      </c>
      <c r="E5" s="10" t="inlineStr">
        <is>
          <t>M3</t>
        </is>
      </c>
      <c r="F5" s="10" t="inlineStr">
        <is>
          <t>M4</t>
        </is>
      </c>
      <c r="G5" s="10" t="inlineStr">
        <is>
          <t>M5</t>
        </is>
      </c>
      <c r="H5" s="10" t="inlineStr">
        <is>
          <t>M6</t>
        </is>
      </c>
      <c r="I5" s="10" t="inlineStr">
        <is>
          <t>M7</t>
        </is>
      </c>
      <c r="J5" s="10" t="inlineStr">
        <is>
          <t>M8</t>
        </is>
      </c>
      <c r="K5" s="10" t="inlineStr">
        <is>
          <t>M9</t>
        </is>
      </c>
      <c r="L5" s="10" t="inlineStr">
        <is>
          <t>M10</t>
        </is>
      </c>
      <c r="M5" s="10" t="inlineStr">
        <is>
          <t>M11</t>
        </is>
      </c>
      <c r="N5" s="10" t="inlineStr">
        <is>
          <t>M12</t>
        </is>
      </c>
      <c r="O5" s="10" t="inlineStr">
        <is>
          <t>M13</t>
        </is>
      </c>
      <c r="P5" s="10" t="inlineStr">
        <is>
          <t>M14</t>
        </is>
      </c>
      <c r="Q5" s="10" t="inlineStr">
        <is>
          <t>M15</t>
        </is>
      </c>
      <c r="R5" s="10" t="inlineStr">
        <is>
          <t>M16</t>
        </is>
      </c>
      <c r="S5" s="10" t="inlineStr">
        <is>
          <t>M17</t>
        </is>
      </c>
      <c r="T5" s="10" t="inlineStr">
        <is>
          <t>M18</t>
        </is>
      </c>
      <c r="U5" s="10" t="inlineStr">
        <is>
          <t>M19</t>
        </is>
      </c>
      <c r="V5" s="10" t="inlineStr">
        <is>
          <t>M20</t>
        </is>
      </c>
      <c r="W5" s="10" t="inlineStr">
        <is>
          <t>M21</t>
        </is>
      </c>
      <c r="X5" s="10" t="inlineStr">
        <is>
          <t>M22</t>
        </is>
      </c>
      <c r="Y5" s="10" t="inlineStr">
        <is>
          <t>M23</t>
        </is>
      </c>
      <c r="Z5" s="10" t="inlineStr">
        <is>
          <t>M24</t>
        </is>
      </c>
      <c r="AA5" s="10" t="inlineStr">
        <is>
          <t>Y1</t>
        </is>
      </c>
      <c r="AB5" s="10" t="inlineStr">
        <is>
          <t>Y2</t>
        </is>
      </c>
    </row>
    <row r="6">
      <c r="A6" s="1" t="n"/>
      <c r="B6" s="14" t="inlineStr">
        <is>
          <t>Opening cash</t>
        </is>
      </c>
      <c r="C6" s="13" t="n">
        <v>0</v>
      </c>
      <c r="D6" s="13">
        <f>C15</f>
        <v/>
      </c>
      <c r="E6" s="13">
        <f>D15</f>
        <v/>
      </c>
      <c r="F6" s="13">
        <f>E15</f>
        <v/>
      </c>
      <c r="G6" s="13">
        <f>F15</f>
        <v/>
      </c>
      <c r="H6" s="13">
        <f>G15</f>
        <v/>
      </c>
      <c r="I6" s="13">
        <f>H15</f>
        <v/>
      </c>
      <c r="J6" s="13">
        <f>I15</f>
        <v/>
      </c>
      <c r="K6" s="13">
        <f>J15</f>
        <v/>
      </c>
      <c r="L6" s="13">
        <f>K15</f>
        <v/>
      </c>
      <c r="M6" s="13">
        <f>L15</f>
        <v/>
      </c>
      <c r="N6" s="13">
        <f>M15</f>
        <v/>
      </c>
      <c r="O6" s="13">
        <f>N15</f>
        <v/>
      </c>
      <c r="P6" s="13">
        <f>O15</f>
        <v/>
      </c>
      <c r="Q6" s="13">
        <f>P15</f>
        <v/>
      </c>
      <c r="R6" s="13">
        <f>Q15</f>
        <v/>
      </c>
      <c r="S6" s="13">
        <f>R15</f>
        <v/>
      </c>
      <c r="T6" s="13">
        <f>S15</f>
        <v/>
      </c>
      <c r="U6" s="13">
        <f>T15</f>
        <v/>
      </c>
      <c r="V6" s="13">
        <f>U15</f>
        <v/>
      </c>
      <c r="W6" s="13">
        <f>V15</f>
        <v/>
      </c>
      <c r="X6" s="13">
        <f>W15</f>
        <v/>
      </c>
      <c r="Y6" s="13">
        <f>X15</f>
        <v/>
      </c>
      <c r="Z6" s="13">
        <f>Y15</f>
        <v/>
      </c>
      <c r="AA6" s="13">
        <f>SUM(C6:N6)</f>
        <v/>
      </c>
      <c r="AB6" s="13">
        <f>SUM(O6:Z6)</f>
        <v/>
      </c>
    </row>
    <row r="7">
      <c r="A7" s="1" t="n"/>
      <c r="B7" s="14" t="inlineStr">
        <is>
          <t>Customer receipts: setup</t>
        </is>
      </c>
      <c r="C7" s="13">
        <f>'05_P&amp;L'!C7*'01_Assumptions'!$D$18</f>
        <v/>
      </c>
      <c r="D7" s="13">
        <f>'05_P&amp;L'!D7*'01_Assumptions'!$D$18</f>
        <v/>
      </c>
      <c r="E7" s="13">
        <f>'05_P&amp;L'!E7*'01_Assumptions'!$D$18</f>
        <v/>
      </c>
      <c r="F7" s="13">
        <f>'05_P&amp;L'!F7*'01_Assumptions'!$D$18</f>
        <v/>
      </c>
      <c r="G7" s="13">
        <f>'05_P&amp;L'!G7*'01_Assumptions'!$D$18</f>
        <v/>
      </c>
      <c r="H7" s="13">
        <f>'05_P&amp;L'!H7*'01_Assumptions'!$D$18</f>
        <v/>
      </c>
      <c r="I7" s="13">
        <f>'05_P&amp;L'!I7*'01_Assumptions'!$D$18</f>
        <v/>
      </c>
      <c r="J7" s="13">
        <f>'05_P&amp;L'!J7*'01_Assumptions'!$D$18</f>
        <v/>
      </c>
      <c r="K7" s="13">
        <f>'05_P&amp;L'!K7*'01_Assumptions'!$D$18</f>
        <v/>
      </c>
      <c r="L7" s="13">
        <f>'05_P&amp;L'!L7*'01_Assumptions'!$D$18</f>
        <v/>
      </c>
      <c r="M7" s="13">
        <f>'05_P&amp;L'!M7*'01_Assumptions'!$D$18</f>
        <v/>
      </c>
      <c r="N7" s="13">
        <f>'05_P&amp;L'!N7*'01_Assumptions'!$D$18</f>
        <v/>
      </c>
      <c r="O7" s="13">
        <f>'05_P&amp;L'!O7*'01_Assumptions'!$D$18</f>
        <v/>
      </c>
      <c r="P7" s="13">
        <f>'05_P&amp;L'!P7*'01_Assumptions'!$D$18</f>
        <v/>
      </c>
      <c r="Q7" s="13">
        <f>'05_P&amp;L'!Q7*'01_Assumptions'!$D$18</f>
        <v/>
      </c>
      <c r="R7" s="13">
        <f>'05_P&amp;L'!R7*'01_Assumptions'!$D$18</f>
        <v/>
      </c>
      <c r="S7" s="13">
        <f>'05_P&amp;L'!S7*'01_Assumptions'!$D$18</f>
        <v/>
      </c>
      <c r="T7" s="13">
        <f>'05_P&amp;L'!T7*'01_Assumptions'!$D$18</f>
        <v/>
      </c>
      <c r="U7" s="13">
        <f>'05_P&amp;L'!U7*'01_Assumptions'!$D$18</f>
        <v/>
      </c>
      <c r="V7" s="13">
        <f>'05_P&amp;L'!V7*'01_Assumptions'!$D$18</f>
        <v/>
      </c>
      <c r="W7" s="13">
        <f>'05_P&amp;L'!W7*'01_Assumptions'!$D$18</f>
        <v/>
      </c>
      <c r="X7" s="13">
        <f>'05_P&amp;L'!X7*'01_Assumptions'!$D$18</f>
        <v/>
      </c>
      <c r="Y7" s="13">
        <f>'05_P&amp;L'!Y7*'01_Assumptions'!$D$18</f>
        <v/>
      </c>
      <c r="Z7" s="13">
        <f>'05_P&amp;L'!Z7*'01_Assumptions'!$D$18</f>
        <v/>
      </c>
      <c r="AA7" s="13">
        <f>SUM(C7:N7)</f>
        <v/>
      </c>
      <c r="AB7" s="13">
        <f>SUM(O7:Z7)</f>
        <v/>
      </c>
    </row>
    <row r="8">
      <c r="A8" s="1" t="n"/>
      <c r="B8" s="14" t="inlineStr">
        <is>
          <t>Customer receipts: recurring</t>
        </is>
      </c>
      <c r="C8" s="13">
        <f>('05_P&amp;L'!C8+'05_P&amp;L'!C9+'05_P&amp;L'!C10+'05_P&amp;L'!C11+'05_P&amp;L'!C12)+('05_P&amp;L'!C7*(1-'01_Assumptions'!$D$18))</f>
        <v/>
      </c>
      <c r="D8" s="13">
        <f>('05_P&amp;L'!D8+'05_P&amp;L'!D9+'05_P&amp;L'!D10+'05_P&amp;L'!D11+'05_P&amp;L'!D12)+('05_P&amp;L'!D7*(1-'01_Assumptions'!$D$18))</f>
        <v/>
      </c>
      <c r="E8" s="13">
        <f>('05_P&amp;L'!E8+'05_P&amp;L'!E9+'05_P&amp;L'!E10+'05_P&amp;L'!E11+'05_P&amp;L'!E12)+('05_P&amp;L'!E7*(1-'01_Assumptions'!$D$18))</f>
        <v/>
      </c>
      <c r="F8" s="13">
        <f>('05_P&amp;L'!F8+'05_P&amp;L'!F9+'05_P&amp;L'!F10+'05_P&amp;L'!F11+'05_P&amp;L'!F12)+('05_P&amp;L'!F7*(1-'01_Assumptions'!$D$18))</f>
        <v/>
      </c>
      <c r="G8" s="13">
        <f>('05_P&amp;L'!G8+'05_P&amp;L'!G9+'05_P&amp;L'!G10+'05_P&amp;L'!G11+'05_P&amp;L'!G12)+('05_P&amp;L'!G7*(1-'01_Assumptions'!$D$18))</f>
        <v/>
      </c>
      <c r="H8" s="13">
        <f>('05_P&amp;L'!H8+'05_P&amp;L'!H9+'05_P&amp;L'!H10+'05_P&amp;L'!H11+'05_P&amp;L'!H12)+('05_P&amp;L'!H7*(1-'01_Assumptions'!$D$18))</f>
        <v/>
      </c>
      <c r="I8" s="13">
        <f>('05_P&amp;L'!I8+'05_P&amp;L'!I9+'05_P&amp;L'!I10+'05_P&amp;L'!I11+'05_P&amp;L'!I12)+('05_P&amp;L'!I7*(1-'01_Assumptions'!$D$18))</f>
        <v/>
      </c>
      <c r="J8" s="13">
        <f>('05_P&amp;L'!J8+'05_P&amp;L'!J9+'05_P&amp;L'!J10+'05_P&amp;L'!J11+'05_P&amp;L'!J12)+('05_P&amp;L'!J7*(1-'01_Assumptions'!$D$18))</f>
        <v/>
      </c>
      <c r="K8" s="13">
        <f>('05_P&amp;L'!K8+'05_P&amp;L'!K9+'05_P&amp;L'!K10+'05_P&amp;L'!K11+'05_P&amp;L'!K12)+('05_P&amp;L'!K7*(1-'01_Assumptions'!$D$18))</f>
        <v/>
      </c>
      <c r="L8" s="13">
        <f>('05_P&amp;L'!L8+'05_P&amp;L'!L9+'05_P&amp;L'!L10+'05_P&amp;L'!L11+'05_P&amp;L'!L12)+('05_P&amp;L'!L7*(1-'01_Assumptions'!$D$18))</f>
        <v/>
      </c>
      <c r="M8" s="13">
        <f>('05_P&amp;L'!M8+'05_P&amp;L'!M9+'05_P&amp;L'!M10+'05_P&amp;L'!M11+'05_P&amp;L'!M12)+('05_P&amp;L'!M7*(1-'01_Assumptions'!$D$18))</f>
        <v/>
      </c>
      <c r="N8" s="13">
        <f>('05_P&amp;L'!N8+'05_P&amp;L'!N9+'05_P&amp;L'!N10+'05_P&amp;L'!N11+'05_P&amp;L'!N12)+('05_P&amp;L'!N7*(1-'01_Assumptions'!$D$18))</f>
        <v/>
      </c>
      <c r="O8" s="13">
        <f>('05_P&amp;L'!O8+'05_P&amp;L'!O9+'05_P&amp;L'!O10+'05_P&amp;L'!O11+'05_P&amp;L'!O12)+('05_P&amp;L'!O7*(1-'01_Assumptions'!$D$18))</f>
        <v/>
      </c>
      <c r="P8" s="13">
        <f>('05_P&amp;L'!P8+'05_P&amp;L'!P9+'05_P&amp;L'!P10+'05_P&amp;L'!P11+'05_P&amp;L'!P12)+('05_P&amp;L'!P7*(1-'01_Assumptions'!$D$18))</f>
        <v/>
      </c>
      <c r="Q8" s="13">
        <f>('05_P&amp;L'!Q8+'05_P&amp;L'!Q9+'05_P&amp;L'!Q10+'05_P&amp;L'!Q11+'05_P&amp;L'!Q12)+('05_P&amp;L'!Q7*(1-'01_Assumptions'!$D$18))</f>
        <v/>
      </c>
      <c r="R8" s="13">
        <f>('05_P&amp;L'!R8+'05_P&amp;L'!R9+'05_P&amp;L'!R10+'05_P&amp;L'!R11+'05_P&amp;L'!R12)+('05_P&amp;L'!R7*(1-'01_Assumptions'!$D$18))</f>
        <v/>
      </c>
      <c r="S8" s="13">
        <f>('05_P&amp;L'!S8+'05_P&amp;L'!S9+'05_P&amp;L'!S10+'05_P&amp;L'!S11+'05_P&amp;L'!S12)+('05_P&amp;L'!S7*(1-'01_Assumptions'!$D$18))</f>
        <v/>
      </c>
      <c r="T8" s="13">
        <f>('05_P&amp;L'!T8+'05_P&amp;L'!T9+'05_P&amp;L'!T10+'05_P&amp;L'!T11+'05_P&amp;L'!T12)+('05_P&amp;L'!T7*(1-'01_Assumptions'!$D$18))</f>
        <v/>
      </c>
      <c r="U8" s="13">
        <f>('05_P&amp;L'!U8+'05_P&amp;L'!U9+'05_P&amp;L'!U10+'05_P&amp;L'!U11+'05_P&amp;L'!U12)+('05_P&amp;L'!U7*(1-'01_Assumptions'!$D$18))</f>
        <v/>
      </c>
      <c r="V8" s="13">
        <f>('05_P&amp;L'!V8+'05_P&amp;L'!V9+'05_P&amp;L'!V10+'05_P&amp;L'!V11+'05_P&amp;L'!V12)+('05_P&amp;L'!V7*(1-'01_Assumptions'!$D$18))</f>
        <v/>
      </c>
      <c r="W8" s="13">
        <f>('05_P&amp;L'!W8+'05_P&amp;L'!W9+'05_P&amp;L'!W10+'05_P&amp;L'!W11+'05_P&amp;L'!W12)+('05_P&amp;L'!W7*(1-'01_Assumptions'!$D$18))</f>
        <v/>
      </c>
      <c r="X8" s="13">
        <f>('05_P&amp;L'!X8+'05_P&amp;L'!X9+'05_P&amp;L'!X10+'05_P&amp;L'!X11+'05_P&amp;L'!X12)+('05_P&amp;L'!X7*(1-'01_Assumptions'!$D$18))</f>
        <v/>
      </c>
      <c r="Y8" s="13">
        <f>('05_P&amp;L'!Y8+'05_P&amp;L'!Y9+'05_P&amp;L'!Y10+'05_P&amp;L'!Y11+'05_P&amp;L'!Y12)+('05_P&amp;L'!Y7*(1-'01_Assumptions'!$D$18))</f>
        <v/>
      </c>
      <c r="Z8" s="13">
        <f>('05_P&amp;L'!Z8+'05_P&amp;L'!Z9+'05_P&amp;L'!Z10+'05_P&amp;L'!Z11+'05_P&amp;L'!Z12)+('05_P&amp;L'!Z7*(1-'01_Assumptions'!$D$18))</f>
        <v/>
      </c>
      <c r="AA8" s="13">
        <f>SUM(C8:N8)</f>
        <v/>
      </c>
      <c r="AB8" s="13">
        <f>SUM(O8:Z8)</f>
        <v/>
      </c>
    </row>
    <row r="9">
      <c r="A9" s="1" t="n"/>
      <c r="B9" s="15" t="inlineStr">
        <is>
          <t>Total cash in</t>
        </is>
      </c>
      <c r="C9" s="13">
        <f>SUM(C7:C8)</f>
        <v/>
      </c>
      <c r="D9" s="13">
        <f>SUM(D7:D8)</f>
        <v/>
      </c>
      <c r="E9" s="13">
        <f>SUM(E7:E8)</f>
        <v/>
      </c>
      <c r="F9" s="13">
        <f>SUM(F7:F8)</f>
        <v/>
      </c>
      <c r="G9" s="13">
        <f>SUM(G7:G8)</f>
        <v/>
      </c>
      <c r="H9" s="13">
        <f>SUM(H7:H8)</f>
        <v/>
      </c>
      <c r="I9" s="13">
        <f>SUM(I7:I8)</f>
        <v/>
      </c>
      <c r="J9" s="13">
        <f>SUM(J7:J8)</f>
        <v/>
      </c>
      <c r="K9" s="13">
        <f>SUM(K7:K8)</f>
        <v/>
      </c>
      <c r="L9" s="13">
        <f>SUM(L7:L8)</f>
        <v/>
      </c>
      <c r="M9" s="13">
        <f>SUM(M7:M8)</f>
        <v/>
      </c>
      <c r="N9" s="13">
        <f>SUM(N7:N8)</f>
        <v/>
      </c>
      <c r="O9" s="13">
        <f>SUM(O7:O8)</f>
        <v/>
      </c>
      <c r="P9" s="13">
        <f>SUM(P7:P8)</f>
        <v/>
      </c>
      <c r="Q9" s="13">
        <f>SUM(Q7:Q8)</f>
        <v/>
      </c>
      <c r="R9" s="13">
        <f>SUM(R7:R8)</f>
        <v/>
      </c>
      <c r="S9" s="13">
        <f>SUM(S7:S8)</f>
        <v/>
      </c>
      <c r="T9" s="13">
        <f>SUM(T7:T8)</f>
        <v/>
      </c>
      <c r="U9" s="13">
        <f>SUM(U7:U8)</f>
        <v/>
      </c>
      <c r="V9" s="13">
        <f>SUM(V7:V8)</f>
        <v/>
      </c>
      <c r="W9" s="13">
        <f>SUM(W7:W8)</f>
        <v/>
      </c>
      <c r="X9" s="13">
        <f>SUM(X7:X8)</f>
        <v/>
      </c>
      <c r="Y9" s="13">
        <f>SUM(Y7:Y8)</f>
        <v/>
      </c>
      <c r="Z9" s="13">
        <f>SUM(Z7:Z8)</f>
        <v/>
      </c>
      <c r="AA9" s="13">
        <f>SUM(C9:N9)</f>
        <v/>
      </c>
      <c r="AB9" s="13">
        <f>SUM(O9:Z9)</f>
        <v/>
      </c>
    </row>
    <row r="10">
      <c r="A10" s="1" t="n"/>
      <c r="B10" s="14" t="inlineStr">
        <is>
          <t>Hardware purchase cash out</t>
        </is>
      </c>
      <c r="C10" s="13">
        <f>'04_Deploy'!I6*'01_Assumptions'!$D$19</f>
        <v/>
      </c>
      <c r="D10" s="13">
        <f>'04_Deploy'!I7*'01_Assumptions'!$D$19</f>
        <v/>
      </c>
      <c r="E10" s="13">
        <f>'04_Deploy'!I8*'01_Assumptions'!$D$19</f>
        <v/>
      </c>
      <c r="F10" s="13">
        <f>'04_Deploy'!I9*'01_Assumptions'!$D$19</f>
        <v/>
      </c>
      <c r="G10" s="13">
        <f>'04_Deploy'!I10*'01_Assumptions'!$D$19</f>
        <v/>
      </c>
      <c r="H10" s="13">
        <f>'04_Deploy'!I11*'01_Assumptions'!$D$19</f>
        <v/>
      </c>
      <c r="I10" s="13">
        <f>'04_Deploy'!I12*'01_Assumptions'!$D$19</f>
        <v/>
      </c>
      <c r="J10" s="13">
        <f>'04_Deploy'!I13*'01_Assumptions'!$D$19</f>
        <v/>
      </c>
      <c r="K10" s="13">
        <f>'04_Deploy'!I14*'01_Assumptions'!$D$19</f>
        <v/>
      </c>
      <c r="L10" s="13">
        <f>'04_Deploy'!I15*'01_Assumptions'!$D$19</f>
        <v/>
      </c>
      <c r="M10" s="13">
        <f>'04_Deploy'!I16*'01_Assumptions'!$D$19</f>
        <v/>
      </c>
      <c r="N10" s="13">
        <f>'04_Deploy'!I17*'01_Assumptions'!$D$19</f>
        <v/>
      </c>
      <c r="O10" s="13">
        <f>'04_Deploy'!I18*'01_Assumptions'!$D$19</f>
        <v/>
      </c>
      <c r="P10" s="13">
        <f>'04_Deploy'!I19*'01_Assumptions'!$D$19</f>
        <v/>
      </c>
      <c r="Q10" s="13">
        <f>'04_Deploy'!I20*'01_Assumptions'!$D$19</f>
        <v/>
      </c>
      <c r="R10" s="13">
        <f>'04_Deploy'!I21*'01_Assumptions'!$D$19</f>
        <v/>
      </c>
      <c r="S10" s="13">
        <f>'04_Deploy'!I22*'01_Assumptions'!$D$19</f>
        <v/>
      </c>
      <c r="T10" s="13">
        <f>'04_Deploy'!I23*'01_Assumptions'!$D$19</f>
        <v/>
      </c>
      <c r="U10" s="13">
        <f>'04_Deploy'!I24*'01_Assumptions'!$D$19</f>
        <v/>
      </c>
      <c r="V10" s="13">
        <f>'04_Deploy'!I25*'01_Assumptions'!$D$19</f>
        <v/>
      </c>
      <c r="W10" s="13">
        <f>'04_Deploy'!I26*'01_Assumptions'!$D$19</f>
        <v/>
      </c>
      <c r="X10" s="13">
        <f>'04_Deploy'!I27*'01_Assumptions'!$D$19</f>
        <v/>
      </c>
      <c r="Y10" s="13">
        <f>'04_Deploy'!I28*'01_Assumptions'!$D$19</f>
        <v/>
      </c>
      <c r="Z10" s="13">
        <f>'04_Deploy'!I29*'01_Assumptions'!$D$19</f>
        <v/>
      </c>
      <c r="AA10" s="13">
        <f>SUM(C10:N10)</f>
        <v/>
      </c>
      <c r="AB10" s="13">
        <f>SUM(O10:Z10)</f>
        <v/>
      </c>
    </row>
    <row r="11">
      <c r="A11" s="1" t="n"/>
      <c r="B11" s="14" t="inlineStr">
        <is>
          <t>COGS cash out</t>
        </is>
      </c>
      <c r="C11" s="13">
        <f>'05_P&amp;L'!C16</f>
        <v/>
      </c>
      <c r="D11" s="13">
        <f>'05_P&amp;L'!D16</f>
        <v/>
      </c>
      <c r="E11" s="13">
        <f>'05_P&amp;L'!E16</f>
        <v/>
      </c>
      <c r="F11" s="13">
        <f>'05_P&amp;L'!F16</f>
        <v/>
      </c>
      <c r="G11" s="13">
        <f>'05_P&amp;L'!G16</f>
        <v/>
      </c>
      <c r="H11" s="13">
        <f>'05_P&amp;L'!H16</f>
        <v/>
      </c>
      <c r="I11" s="13">
        <f>'05_P&amp;L'!I16</f>
        <v/>
      </c>
      <c r="J11" s="13">
        <f>'05_P&amp;L'!J16</f>
        <v/>
      </c>
      <c r="K11" s="13">
        <f>'05_P&amp;L'!K16</f>
        <v/>
      </c>
      <c r="L11" s="13">
        <f>'05_P&amp;L'!L16</f>
        <v/>
      </c>
      <c r="M11" s="13">
        <f>'05_P&amp;L'!M16</f>
        <v/>
      </c>
      <c r="N11" s="13">
        <f>'05_P&amp;L'!N16</f>
        <v/>
      </c>
      <c r="O11" s="13">
        <f>'05_P&amp;L'!O16</f>
        <v/>
      </c>
      <c r="P11" s="13">
        <f>'05_P&amp;L'!P16</f>
        <v/>
      </c>
      <c r="Q11" s="13">
        <f>'05_P&amp;L'!Q16</f>
        <v/>
      </c>
      <c r="R11" s="13">
        <f>'05_P&amp;L'!R16</f>
        <v/>
      </c>
      <c r="S11" s="13">
        <f>'05_P&amp;L'!S16</f>
        <v/>
      </c>
      <c r="T11" s="13">
        <f>'05_P&amp;L'!T16</f>
        <v/>
      </c>
      <c r="U11" s="13">
        <f>'05_P&amp;L'!U16</f>
        <v/>
      </c>
      <c r="V11" s="13">
        <f>'05_P&amp;L'!V16</f>
        <v/>
      </c>
      <c r="W11" s="13">
        <f>'05_P&amp;L'!W16</f>
        <v/>
      </c>
      <c r="X11" s="13">
        <f>'05_P&amp;L'!X16</f>
        <v/>
      </c>
      <c r="Y11" s="13">
        <f>'05_P&amp;L'!Y16</f>
        <v/>
      </c>
      <c r="Z11" s="13">
        <f>'05_P&amp;L'!Z16</f>
        <v/>
      </c>
      <c r="AA11" s="13">
        <f>SUM(C11:N11)</f>
        <v/>
      </c>
      <c r="AB11" s="13">
        <f>SUM(O11:Z11)</f>
        <v/>
      </c>
    </row>
    <row r="12">
      <c r="A12" s="1" t="n"/>
      <c r="B12" s="14" t="inlineStr">
        <is>
          <t>OPEX cash out</t>
        </is>
      </c>
      <c r="C12" s="13">
        <f>'05_P&amp;L'!C21</f>
        <v/>
      </c>
      <c r="D12" s="13">
        <f>'05_P&amp;L'!D21</f>
        <v/>
      </c>
      <c r="E12" s="13">
        <f>'05_P&amp;L'!E21</f>
        <v/>
      </c>
      <c r="F12" s="13">
        <f>'05_P&amp;L'!F21</f>
        <v/>
      </c>
      <c r="G12" s="13">
        <f>'05_P&amp;L'!G21</f>
        <v/>
      </c>
      <c r="H12" s="13">
        <f>'05_P&amp;L'!H21</f>
        <v/>
      </c>
      <c r="I12" s="13">
        <f>'05_P&amp;L'!I21</f>
        <v/>
      </c>
      <c r="J12" s="13">
        <f>'05_P&amp;L'!J21</f>
        <v/>
      </c>
      <c r="K12" s="13">
        <f>'05_P&amp;L'!K21</f>
        <v/>
      </c>
      <c r="L12" s="13">
        <f>'05_P&amp;L'!L21</f>
        <v/>
      </c>
      <c r="M12" s="13">
        <f>'05_P&amp;L'!M21</f>
        <v/>
      </c>
      <c r="N12" s="13">
        <f>'05_P&amp;L'!N21</f>
        <v/>
      </c>
      <c r="O12" s="13">
        <f>'05_P&amp;L'!O21</f>
        <v/>
      </c>
      <c r="P12" s="13">
        <f>'05_P&amp;L'!P21</f>
        <v/>
      </c>
      <c r="Q12" s="13">
        <f>'05_P&amp;L'!Q21</f>
        <v/>
      </c>
      <c r="R12" s="13">
        <f>'05_P&amp;L'!R21</f>
        <v/>
      </c>
      <c r="S12" s="13">
        <f>'05_P&amp;L'!S21</f>
        <v/>
      </c>
      <c r="T12" s="13">
        <f>'05_P&amp;L'!T21</f>
        <v/>
      </c>
      <c r="U12" s="13">
        <f>'05_P&amp;L'!U21</f>
        <v/>
      </c>
      <c r="V12" s="13">
        <f>'05_P&amp;L'!V21</f>
        <v/>
      </c>
      <c r="W12" s="13">
        <f>'05_P&amp;L'!W21</f>
        <v/>
      </c>
      <c r="X12" s="13">
        <f>'05_P&amp;L'!X21</f>
        <v/>
      </c>
      <c r="Y12" s="13">
        <f>'05_P&amp;L'!Y21</f>
        <v/>
      </c>
      <c r="Z12" s="13">
        <f>'05_P&amp;L'!Z21</f>
        <v/>
      </c>
      <c r="AA12" s="13">
        <f>SUM(C12:N12)</f>
        <v/>
      </c>
      <c r="AB12" s="13">
        <f>SUM(O12:Z12)</f>
        <v/>
      </c>
    </row>
    <row r="13">
      <c r="A13" s="1" t="n"/>
      <c r="B13" s="15" t="inlineStr">
        <is>
          <t>Total cash out</t>
        </is>
      </c>
      <c r="C13" s="13">
        <f>SUM(C10:C12)</f>
        <v/>
      </c>
      <c r="D13" s="13">
        <f>SUM(D10:D12)</f>
        <v/>
      </c>
      <c r="E13" s="13">
        <f>SUM(E10:E12)</f>
        <v/>
      </c>
      <c r="F13" s="13">
        <f>SUM(F10:F12)</f>
        <v/>
      </c>
      <c r="G13" s="13">
        <f>SUM(G10:G12)</f>
        <v/>
      </c>
      <c r="H13" s="13">
        <f>SUM(H10:H12)</f>
        <v/>
      </c>
      <c r="I13" s="13">
        <f>SUM(I10:I12)</f>
        <v/>
      </c>
      <c r="J13" s="13">
        <f>SUM(J10:J12)</f>
        <v/>
      </c>
      <c r="K13" s="13">
        <f>SUM(K10:K12)</f>
        <v/>
      </c>
      <c r="L13" s="13">
        <f>SUM(L10:L12)</f>
        <v/>
      </c>
      <c r="M13" s="13">
        <f>SUM(M10:M12)</f>
        <v/>
      </c>
      <c r="N13" s="13">
        <f>SUM(N10:N12)</f>
        <v/>
      </c>
      <c r="O13" s="13">
        <f>SUM(O10:O12)</f>
        <v/>
      </c>
      <c r="P13" s="13">
        <f>SUM(P10:P12)</f>
        <v/>
      </c>
      <c r="Q13" s="13">
        <f>SUM(Q10:Q12)</f>
        <v/>
      </c>
      <c r="R13" s="13">
        <f>SUM(R10:R12)</f>
        <v/>
      </c>
      <c r="S13" s="13">
        <f>SUM(S10:S12)</f>
        <v/>
      </c>
      <c r="T13" s="13">
        <f>SUM(T10:T12)</f>
        <v/>
      </c>
      <c r="U13" s="13">
        <f>SUM(U10:U12)</f>
        <v/>
      </c>
      <c r="V13" s="13">
        <f>SUM(V10:V12)</f>
        <v/>
      </c>
      <c r="W13" s="13">
        <f>SUM(W10:W12)</f>
        <v/>
      </c>
      <c r="X13" s="13">
        <f>SUM(X10:X12)</f>
        <v/>
      </c>
      <c r="Y13" s="13">
        <f>SUM(Y10:Y12)</f>
        <v/>
      </c>
      <c r="Z13" s="13">
        <f>SUM(Z10:Z12)</f>
        <v/>
      </c>
      <c r="AA13" s="13">
        <f>SUM(C13:N13)</f>
        <v/>
      </c>
      <c r="AB13" s="13">
        <f>SUM(O13:Z13)</f>
        <v/>
      </c>
    </row>
    <row r="14">
      <c r="A14" s="1" t="n"/>
      <c r="B14" s="14" t="inlineStr">
        <is>
          <t>Net cash flow</t>
        </is>
      </c>
      <c r="C14" s="13">
        <f>C9-C13</f>
        <v/>
      </c>
      <c r="D14" s="13">
        <f>D9-D13</f>
        <v/>
      </c>
      <c r="E14" s="13">
        <f>E9-E13</f>
        <v/>
      </c>
      <c r="F14" s="13">
        <f>F9-F13</f>
        <v/>
      </c>
      <c r="G14" s="13">
        <f>G9-G13</f>
        <v/>
      </c>
      <c r="H14" s="13">
        <f>H9-H13</f>
        <v/>
      </c>
      <c r="I14" s="13">
        <f>I9-I13</f>
        <v/>
      </c>
      <c r="J14" s="13">
        <f>J9-J13</f>
        <v/>
      </c>
      <c r="K14" s="13">
        <f>K9-K13</f>
        <v/>
      </c>
      <c r="L14" s="13">
        <f>L9-L13</f>
        <v/>
      </c>
      <c r="M14" s="13">
        <f>M9-M13</f>
        <v/>
      </c>
      <c r="N14" s="13">
        <f>N9-N13</f>
        <v/>
      </c>
      <c r="O14" s="13">
        <f>O9-O13</f>
        <v/>
      </c>
      <c r="P14" s="13">
        <f>P9-P13</f>
        <v/>
      </c>
      <c r="Q14" s="13">
        <f>Q9-Q13</f>
        <v/>
      </c>
      <c r="R14" s="13">
        <f>R9-R13</f>
        <v/>
      </c>
      <c r="S14" s="13">
        <f>S9-S13</f>
        <v/>
      </c>
      <c r="T14" s="13">
        <f>T9-T13</f>
        <v/>
      </c>
      <c r="U14" s="13">
        <f>U9-U13</f>
        <v/>
      </c>
      <c r="V14" s="13">
        <f>V9-V13</f>
        <v/>
      </c>
      <c r="W14" s="13">
        <f>W9-W13</f>
        <v/>
      </c>
      <c r="X14" s="13">
        <f>X9-X13</f>
        <v/>
      </c>
      <c r="Y14" s="13">
        <f>Y9-Y13</f>
        <v/>
      </c>
      <c r="Z14" s="13">
        <f>Z9-Z13</f>
        <v/>
      </c>
      <c r="AA14" s="13">
        <f>SUM(C14:N14)</f>
        <v/>
      </c>
      <c r="AB14" s="13">
        <f>SUM(O14:Z14)</f>
        <v/>
      </c>
    </row>
    <row r="15">
      <c r="A15" s="1" t="n"/>
      <c r="B15" s="15" t="inlineStr">
        <is>
          <t>Closing cash</t>
        </is>
      </c>
      <c r="C15" s="13">
        <f>C6+C14</f>
        <v/>
      </c>
      <c r="D15" s="13">
        <f>D6+D14</f>
        <v/>
      </c>
      <c r="E15" s="13">
        <f>E6+E14</f>
        <v/>
      </c>
      <c r="F15" s="13">
        <f>F6+F14</f>
        <v/>
      </c>
      <c r="G15" s="13">
        <f>G6+G14</f>
        <v/>
      </c>
      <c r="H15" s="13">
        <f>H6+H14</f>
        <v/>
      </c>
      <c r="I15" s="13">
        <f>I6+I14</f>
        <v/>
      </c>
      <c r="J15" s="13">
        <f>J6+J14</f>
        <v/>
      </c>
      <c r="K15" s="13">
        <f>K6+K14</f>
        <v/>
      </c>
      <c r="L15" s="13">
        <f>L6+L14</f>
        <v/>
      </c>
      <c r="M15" s="13">
        <f>M6+M14</f>
        <v/>
      </c>
      <c r="N15" s="13">
        <f>N6+N14</f>
        <v/>
      </c>
      <c r="O15" s="13">
        <f>O6+O14</f>
        <v/>
      </c>
      <c r="P15" s="13">
        <f>P6+P14</f>
        <v/>
      </c>
      <c r="Q15" s="13">
        <f>Q6+Q14</f>
        <v/>
      </c>
      <c r="R15" s="13">
        <f>R6+R14</f>
        <v/>
      </c>
      <c r="S15" s="13">
        <f>S6+S14</f>
        <v/>
      </c>
      <c r="T15" s="13">
        <f>T6+T14</f>
        <v/>
      </c>
      <c r="U15" s="13">
        <f>U6+U14</f>
        <v/>
      </c>
      <c r="V15" s="13">
        <f>V6+V14</f>
        <v/>
      </c>
      <c r="W15" s="13">
        <f>W6+W14</f>
        <v/>
      </c>
      <c r="X15" s="13">
        <f>X6+X14</f>
        <v/>
      </c>
      <c r="Y15" s="13">
        <f>Y6+Y14</f>
        <v/>
      </c>
      <c r="Z15" s="13">
        <f>Z6+Z14</f>
        <v/>
      </c>
      <c r="AA15" s="13">
        <f>SUM(C15:N15)</f>
        <v/>
      </c>
      <c r="AB15" s="13">
        <f>SUM(O15:Z15)</f>
        <v/>
      </c>
    </row>
    <row r="16">
      <c r="A16" s="1" t="n"/>
      <c r="B16" s="15" t="inlineStr">
        <is>
          <t>Funding need</t>
        </is>
      </c>
      <c r="C16" s="13">
        <f>MAX(0,-C15)</f>
        <v/>
      </c>
      <c r="D16" s="13">
        <f>MAX(0,-D15)</f>
        <v/>
      </c>
      <c r="E16" s="13">
        <f>MAX(0,-E15)</f>
        <v/>
      </c>
      <c r="F16" s="13">
        <f>MAX(0,-F15)</f>
        <v/>
      </c>
      <c r="G16" s="13">
        <f>MAX(0,-G15)</f>
        <v/>
      </c>
      <c r="H16" s="13">
        <f>MAX(0,-H15)</f>
        <v/>
      </c>
      <c r="I16" s="13">
        <f>MAX(0,-I15)</f>
        <v/>
      </c>
      <c r="J16" s="13">
        <f>MAX(0,-J15)</f>
        <v/>
      </c>
      <c r="K16" s="13">
        <f>MAX(0,-K15)</f>
        <v/>
      </c>
      <c r="L16" s="13">
        <f>MAX(0,-L15)</f>
        <v/>
      </c>
      <c r="M16" s="13">
        <f>MAX(0,-M15)</f>
        <v/>
      </c>
      <c r="N16" s="13">
        <f>MAX(0,-N15)</f>
        <v/>
      </c>
      <c r="O16" s="13">
        <f>MAX(0,-O15)</f>
        <v/>
      </c>
      <c r="P16" s="13">
        <f>MAX(0,-P15)</f>
        <v/>
      </c>
      <c r="Q16" s="13">
        <f>MAX(0,-Q15)</f>
        <v/>
      </c>
      <c r="R16" s="13">
        <f>MAX(0,-R15)</f>
        <v/>
      </c>
      <c r="S16" s="13">
        <f>MAX(0,-S15)</f>
        <v/>
      </c>
      <c r="T16" s="13">
        <f>MAX(0,-T15)</f>
        <v/>
      </c>
      <c r="U16" s="13">
        <f>MAX(0,-U15)</f>
        <v/>
      </c>
      <c r="V16" s="13">
        <f>MAX(0,-V15)</f>
        <v/>
      </c>
      <c r="W16" s="13">
        <f>MAX(0,-W15)</f>
        <v/>
      </c>
      <c r="X16" s="13">
        <f>MAX(0,-X15)</f>
        <v/>
      </c>
      <c r="Y16" s="13">
        <f>MAX(0,-Y15)</f>
        <v/>
      </c>
      <c r="Z16" s="13">
        <f>MAX(0,-Z15)</f>
        <v/>
      </c>
      <c r="AA16" s="13">
        <f>SUM(C16:N16)</f>
        <v/>
      </c>
      <c r="AB16" s="13">
        <f>SUM(O16:Z16)</f>
        <v/>
      </c>
    </row>
  </sheetData>
  <mergeCells count="2">
    <mergeCell ref="B3:AA3"/>
    <mergeCell ref="B2:A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" t="n"/>
      <c r="B2" s="2" t="inlineStr">
        <is>
          <t>Риски / Rischi / Risks</t>
        </is>
      </c>
      <c r="C2" s="1" t="n"/>
      <c r="D2" s="1" t="n"/>
      <c r="E2" s="1" t="n"/>
      <c r="F2" s="1" t="n"/>
      <c r="G2" s="1" t="n"/>
      <c r="H2" s="1" t="n"/>
      <c r="I2" s="1" t="n"/>
    </row>
    <row r="3" ht="30" customHeight="1">
      <c r="A3" s="1" t="n"/>
      <c r="B3" s="3" t="inlineStr">
        <is>
          <t>Risk register with mitigations and funding gates.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5" t="inlineStr">
        <is>
          <t>Риск</t>
        </is>
      </c>
      <c r="C5" s="5" t="inlineStr">
        <is>
          <t>Вероятность</t>
        </is>
      </c>
      <c r="D5" s="5" t="inlineStr">
        <is>
          <t>Влияние</t>
        </is>
      </c>
      <c r="E5" s="5" t="inlineStr">
        <is>
          <t>Mitigation</t>
        </is>
      </c>
      <c r="F5" s="5" t="inlineStr">
        <is>
          <t>Gate</t>
        </is>
      </c>
      <c r="G5" s="1" t="n"/>
      <c r="H5" s="1" t="n"/>
      <c r="I5" s="1" t="n"/>
    </row>
    <row r="6">
      <c r="A6" s="1" t="n"/>
      <c r="B6" s="6" t="inlineStr">
        <is>
          <t>Hotel sales cycle</t>
        </is>
      </c>
      <c r="C6" s="6" t="inlineStr">
        <is>
          <t>High</t>
        </is>
      </c>
      <c r="D6" s="6" t="inlineStr">
        <is>
          <t>High</t>
        </is>
      </c>
      <c r="E6" s="6" t="inlineStr">
        <is>
          <t>Paid pilot, partner channel, deposits before PO</t>
        </is>
      </c>
      <c r="F6" s="6" t="inlineStr">
        <is>
          <t>Pipeline: 3 pilots before inventory</t>
        </is>
      </c>
      <c r="G6" s="1" t="n"/>
      <c r="H6" s="1" t="n"/>
      <c r="I6" s="1" t="n"/>
    </row>
    <row r="7">
      <c r="A7" s="1" t="n"/>
      <c r="B7" s="6" t="inlineStr">
        <is>
          <t>PMS fragmentation</t>
        </is>
      </c>
      <c r="C7" s="6" t="inlineStr">
        <is>
          <t>High</t>
        </is>
      </c>
      <c r="D7" s="6" t="inlineStr">
        <is>
          <t>High</t>
        </is>
      </c>
      <c r="E7" s="6" t="inlineStr">
        <is>
          <t>Support 2–3 PMS first; adapter architecture</t>
        </is>
      </c>
      <c r="F7" s="6" t="inlineStr">
        <is>
          <t>Two live integrations</t>
        </is>
      </c>
      <c r="G7" s="1" t="n"/>
      <c r="H7" s="1" t="n"/>
      <c r="I7" s="1" t="n"/>
    </row>
    <row r="8">
      <c r="A8" s="1" t="n"/>
      <c r="B8" s="6" t="inlineStr">
        <is>
          <t>Hardware CE/RED/CRA</t>
        </is>
      </c>
      <c r="C8" s="6" t="inlineStr">
        <is>
          <t>Medium</t>
        </is>
      </c>
      <c r="D8" s="6" t="inlineStr">
        <is>
          <t>Very high</t>
        </is>
      </c>
      <c r="E8" s="6" t="inlineStr">
        <is>
          <t>Supplier technical-file audit; EU legal review; replacement pool</t>
        </is>
      </c>
      <c r="F8" s="6" t="inlineStr">
        <is>
          <t>No PO before documentation</t>
        </is>
      </c>
      <c r="G8" s="1" t="n"/>
      <c r="H8" s="1" t="n"/>
      <c r="I8" s="1" t="n"/>
    </row>
    <row r="9">
      <c r="A9" s="1" t="n"/>
      <c r="B9" s="6" t="inlineStr">
        <is>
          <t>Privacy/identity</t>
        </is>
      </c>
      <c r="C9" s="6" t="inlineStr">
        <is>
          <t>Medium</t>
        </is>
      </c>
      <c r="D9" s="6" t="inlineStr">
        <is>
          <t>Very high</t>
        </is>
      </c>
      <c r="E9" s="6" t="inlineStr">
        <is>
          <t>No document storage; tokenised session; DPIA/DPA</t>
        </is>
      </c>
      <c r="F9" s="6" t="inlineStr">
        <is>
          <t>DPIA complete before pilot</t>
        </is>
      </c>
      <c r="G9" s="1" t="n"/>
      <c r="H9" s="1" t="n"/>
      <c r="I9" s="1" t="n"/>
    </row>
    <row r="10">
      <c r="A10" s="1" t="n"/>
      <c r="B10" s="6" t="inlineStr">
        <is>
          <t>Seasonality</t>
        </is>
      </c>
      <c r="C10" s="6" t="inlineStr">
        <is>
          <t>High</t>
        </is>
      </c>
      <c r="D10" s="6" t="inlineStr">
        <is>
          <t>High</t>
        </is>
      </c>
      <c r="E10" s="6" t="inlineStr">
        <is>
          <t>Annual contracts; install off-season; Genova mix</t>
        </is>
      </c>
      <c r="F10" s="6" t="inlineStr">
        <is>
          <t>12-month contracts</t>
        </is>
      </c>
      <c r="G10" s="1" t="n"/>
      <c r="H10" s="1" t="n"/>
      <c r="I10" s="1" t="n"/>
    </row>
    <row r="11">
      <c r="A11" s="1" t="n"/>
      <c r="B11" s="6" t="inlineStr">
        <is>
          <t>Working capital</t>
        </is>
      </c>
      <c r="C11" s="6" t="inlineStr">
        <is>
          <t>Medium</t>
        </is>
      </c>
      <c r="D11" s="6" t="inlineStr">
        <is>
          <t>High</t>
        </is>
      </c>
      <c r="E11" s="6" t="inlineStr">
        <is>
          <t>Customer upfront payments; leased hardware; low MOQ</t>
        </is>
      </c>
      <c r="F11" s="6" t="inlineStr">
        <is>
          <t>Funding runway 12 months</t>
        </is>
      </c>
      <c r="G11" s="1" t="n"/>
      <c r="H11" s="1" t="n"/>
      <c r="I11" s="1" t="n"/>
    </row>
    <row r="12">
      <c r="A12" s="1" t="n"/>
      <c r="B12" s="6" t="inlineStr">
        <is>
          <t>Usage/low adoption</t>
        </is>
      </c>
      <c r="C12" s="6" t="inlineStr">
        <is>
          <t>Medium</t>
        </is>
      </c>
      <c r="D12" s="6" t="inlineStr">
        <is>
          <t>High</t>
        </is>
      </c>
      <c r="E12" s="6" t="inlineStr">
        <is>
          <t>Lobby-first; QR fallback; instrument usage</t>
        </is>
      </c>
      <c r="F12" s="6" t="inlineStr">
        <is>
          <t>Weekly active guest target</t>
        </is>
      </c>
      <c r="G12" s="1" t="n"/>
      <c r="H12" s="1" t="n"/>
      <c r="I12" s="1" t="n"/>
    </row>
    <row r="13">
      <c r="A13" s="1" t="n"/>
      <c r="B13" s="6" t="inlineStr">
        <is>
          <t>Vape regulation</t>
        </is>
      </c>
      <c r="C13" s="6" t="inlineStr">
        <is>
          <t>High</t>
        </is>
      </c>
      <c r="D13" s="6" t="inlineStr">
        <is>
          <t>Very high</t>
        </is>
      </c>
      <c r="E13" s="6" t="inlineStr">
        <is>
          <t>Licensed operator only; separate entity economics</t>
        </is>
      </c>
      <c r="F13" s="6" t="inlineStr">
        <is>
          <t>No direct sale without written advice</t>
        </is>
      </c>
      <c r="G13" s="1" t="n"/>
      <c r="H13" s="1" t="n"/>
      <c r="I13" s="1" t="n"/>
    </row>
    <row r="14">
      <c r="A14" s="1" t="n"/>
      <c r="B14" s="6" t="inlineStr">
        <is>
          <t>Robot economics</t>
        </is>
      </c>
      <c r="C14" s="6" t="inlineStr">
        <is>
          <t>High</t>
        </is>
      </c>
      <c r="D14" s="6" t="inlineStr">
        <is>
          <t>Medium</t>
        </is>
      </c>
      <c r="E14" s="6" t="inlineStr">
        <is>
          <t>Robot-agnostic API before hardware purchase</t>
        </is>
      </c>
      <c r="F14" s="6" t="inlineStr">
        <is>
          <t>Task volume validated</t>
        </is>
      </c>
      <c r="G14" s="1" t="n"/>
      <c r="H14" s="1" t="n"/>
      <c r="I14" s="1" t="n"/>
    </row>
  </sheetData>
  <mergeCells count="2">
    <mergeCell ref="B3:I3"/>
    <mergeCell ref="B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26" customHeight="1">
      <c r="A2" s="1" t="n"/>
      <c r="B2" s="2" t="inlineStr">
        <is>
          <t>Источники / Fonti / Sources</t>
        </is>
      </c>
      <c r="C2" s="1" t="n"/>
      <c r="D2" s="1" t="n"/>
      <c r="E2" s="1" t="n"/>
      <c r="F2" s="1" t="n"/>
      <c r="G2" s="1" t="n"/>
    </row>
    <row r="3" ht="30" customHeight="1">
      <c r="A3" s="1" t="n"/>
      <c r="B3" s="3" t="inlineStr">
        <is>
          <t>Primary/official sources used for market and regulatory facts.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5" t="inlineStr">
        <is>
          <t>Area</t>
        </is>
      </c>
      <c r="C5" s="5" t="inlineStr">
        <is>
          <t>Source</t>
        </is>
      </c>
      <c r="D5" s="5" t="inlineStr">
        <is>
          <t>Use</t>
        </is>
      </c>
      <c r="E5" s="5" t="inlineStr">
        <is>
          <t>URL</t>
        </is>
      </c>
      <c r="F5" s="1" t="n"/>
      <c r="G5" s="1" t="n"/>
    </row>
    <row r="6">
      <c r="A6" s="1" t="n"/>
      <c r="B6" s="6" t="inlineStr">
        <is>
          <t>Market</t>
        </is>
      </c>
      <c r="C6" s="6" t="inlineStr">
        <is>
          <t>Regione Liguria, Turismo in Liguria — Anno 2025</t>
        </is>
      </c>
      <c r="D6" s="6" t="inlineStr">
        <is>
          <t>2025 arrivals/presences/province</t>
        </is>
      </c>
      <c r="E6" s="16" t="inlineStr">
        <is>
          <t>https://www.regione.liguria.it/components/com_publiccompetitions/includes/download.php?id=77345:flussi-turismo-2025.pdf</t>
        </is>
      </c>
      <c r="F6" s="1" t="n"/>
      <c r="G6" s="1" t="n"/>
    </row>
    <row r="7">
      <c r="A7" s="1" t="n"/>
      <c r="B7" s="6" t="inlineStr">
        <is>
          <t>Market</t>
        </is>
      </c>
      <c r="C7" s="6" t="inlineStr">
        <is>
          <t>Istat, Capacità degli esercizi ricettivi</t>
        </is>
      </c>
      <c r="D7" s="6" t="inlineStr">
        <is>
          <t>Capacity data methodology, year 2025</t>
        </is>
      </c>
      <c r="E7" s="16" t="inlineStr">
        <is>
          <t>https://www.istat.it/informazioni-sulla-rilevazione/capacita-degli-esercizi-ricettivi/</t>
        </is>
      </c>
      <c r="F7" s="1" t="n"/>
      <c r="G7" s="1" t="n"/>
    </row>
    <row r="8">
      <c r="A8" s="1" t="n"/>
      <c r="B8" s="6" t="inlineStr">
        <is>
          <t>EU IoT</t>
        </is>
      </c>
      <c r="C8" s="6" t="inlineStr">
        <is>
          <t>European Commission, Radio Equipment Directive</t>
        </is>
      </c>
      <c r="D8" s="6" t="inlineStr">
        <is>
          <t>RED cybersecurity and CRA interaction</t>
        </is>
      </c>
      <c r="E8" s="16" t="inlineStr">
        <is>
          <t>https://single-market-economy.ec.europa.eu/sectors/electrical-and-electronic-engineering-industries-eei/radio-equipment-directive_en</t>
        </is>
      </c>
      <c r="F8" s="1" t="n"/>
      <c r="G8" s="1" t="n"/>
    </row>
    <row r="9">
      <c r="A9" s="1" t="n"/>
      <c r="B9" s="6" t="inlineStr">
        <is>
          <t>EU IoT</t>
        </is>
      </c>
      <c r="C9" s="6" t="inlineStr">
        <is>
          <t>European Commission, Cyber Resilience Act</t>
        </is>
      </c>
      <c r="D9" s="6" t="inlineStr">
        <is>
          <t>Importer obligations and dates</t>
        </is>
      </c>
      <c r="E9" s="16" t="inlineStr">
        <is>
          <t>https://digital-strategy.ec.europa.eu/en/policies/cra-summary</t>
        </is>
      </c>
      <c r="F9" s="1" t="n"/>
      <c r="G9" s="1" t="n"/>
    </row>
    <row r="10">
      <c r="A10" s="1" t="n"/>
      <c r="B10" s="6" t="inlineStr">
        <is>
          <t>Privacy</t>
        </is>
      </c>
      <c r="C10" s="6" t="inlineStr">
        <is>
          <t>Garante per la protezione dei dati personali</t>
        </is>
      </c>
      <c r="D10" s="6" t="inlineStr">
        <is>
          <t>Hotel ID document retention</t>
        </is>
      </c>
      <c r="E10" s="16" t="inlineStr">
        <is>
          <t>https://www.garanteprivacy.it/home/docweb/-/docweb-display/docweb/10244195</t>
        </is>
      </c>
      <c r="F10" s="1" t="n"/>
      <c r="G10" s="1" t="n"/>
    </row>
    <row r="11">
      <c r="A11" s="1" t="n"/>
      <c r="B11" s="6" t="inlineStr">
        <is>
          <t>Tobacco</t>
        </is>
      </c>
      <c r="C11" s="6" t="inlineStr">
        <is>
          <t>Agenzia delle dogane e dei Monopoli</t>
        </is>
      </c>
      <c r="D11" s="6" t="inlineStr">
        <is>
          <t>Tobacco authorisation</t>
        </is>
      </c>
      <c r="E11" s="16" t="inlineStr">
        <is>
          <t>https://www.adm.gov.it/portale/en/sdg/tabacchi5</t>
        </is>
      </c>
      <c r="F11" s="1" t="n"/>
      <c r="G11" s="1" t="n"/>
    </row>
  </sheetData>
  <mergeCells count="2">
    <mergeCell ref="B3:G3"/>
    <mergeCell ref="B2:G2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2026-10-13T17:39:26Z</dcterms:created>
  <dcterms:modified xmlns:dcterms="http://purl.org/dc/terms/" xmlns:xsi="http://www.w3.org/2001/XMLSchema-instance" xsi:type="dcterms:W3CDTF">2026-10-13T17:39:26Z</dcterms:modified>
</cp:coreProperties>
</file>