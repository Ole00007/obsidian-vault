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guria_TAM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_24M" sheetId="4" state="visible" r:id="rId4"/>
    <sheet xmlns:r="http://schemas.openxmlformats.org/officeDocument/2006/relationships" name="PnL_Annual" sheetId="5" state="visible" r:id="rId5"/>
    <sheet xmlns:r="http://schemas.openxmlformats.org/officeDocument/2006/relationships" name="Trend_Longevity" sheetId="6" state="visible" r:id="rId6"/>
    <sheet xmlns:r="http://schemas.openxmlformats.org/officeDocument/2006/relationships" name="Licences" sheetId="7" state="visible" r:id="rId7"/>
    <sheet xmlns:r="http://schemas.openxmlformats.org/officeDocument/2006/relationships" name="Ris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#,##0.0"/>
  </numFmts>
  <fonts count="4">
    <font>
      <name val="Calibri"/>
      <family val="2"/>
      <color theme="1"/>
      <sz val="11"/>
      <scheme val="minor"/>
    </font>
    <font>
      <name val="Calibri"/>
      <b val="1"/>
    </font>
    <font>
      <name val="Calibri"/>
      <b val="1"/>
      <color rgb="00FFFFFF"/>
    </font>
    <font>
      <name val="Calibri"/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3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2" customWidth="1" min="1" max="1"/>
    <col width="48" customWidth="1" min="2" max="2"/>
    <col width="56" customWidth="1" min="3" max="3"/>
    <col width="16" customWidth="1" min="4" max="4"/>
  </cols>
  <sheetData>
    <row r="1">
      <c r="A1" s="1" t="inlineStr">
        <is>
          <t>LIGURIA HOSPITALITY AGENT+HARDWARE - INVESTMENT SUMMARY / SINTESI / ИНВЕСТИЦИОННОЕ РЕЗЮМЕ</t>
        </is>
      </c>
    </row>
    <row r="3">
      <c r="A3" s="2" t="inlineStr">
        <is>
          <t>English</t>
        </is>
      </c>
      <c r="B3" s="2" t="inlineStr">
        <is>
          <t>Italiano</t>
        </is>
      </c>
      <c r="C3" s="2" t="inlineStr">
        <is>
          <t>Русский</t>
        </is>
      </c>
      <c r="D3" s="2" t="inlineStr">
        <is>
          <t>Value</t>
        </is>
      </c>
    </row>
    <row r="4">
      <c r="A4" t="inlineStr">
        <is>
          <t>Scenario selected (1 Lean, 2 Base, 3 Regional)</t>
        </is>
      </c>
      <c r="B4" t="inlineStr">
        <is>
          <t>Scenario scelto (1 Lean, 2 Base, 3 Regionale)</t>
        </is>
      </c>
      <c r="C4" t="inlineStr">
        <is>
          <t>Выбранный сценарий (1 Lean, 2 Base, 3 Regional)</t>
        </is>
      </c>
      <c r="D4" s="3">
        <f>Assumptions!B8</f>
        <v/>
      </c>
    </row>
    <row r="5">
      <c r="A5" t="inlineStr">
        <is>
          <t>Clients at month 12</t>
        </is>
      </c>
      <c r="B5" t="inlineStr">
        <is>
          <t>Clienti al mese 12</t>
        </is>
      </c>
      <c r="C5" t="inlineStr">
        <is>
          <t>Клиентов на 12-й месяц</t>
        </is>
      </c>
      <c r="D5" s="4">
        <f>Assumptions!B9</f>
        <v/>
      </c>
    </row>
    <row r="6">
      <c r="A6" t="inlineStr">
        <is>
          <t>Clients at month 24</t>
        </is>
      </c>
      <c r="B6" t="inlineStr">
        <is>
          <t>Clienti al mese 24</t>
        </is>
      </c>
      <c r="C6" t="inlineStr">
        <is>
          <t>Клиентов на 24-й месяц</t>
        </is>
      </c>
      <c r="D6" s="4">
        <f>Assumptions!B10</f>
        <v/>
      </c>
    </row>
    <row r="7">
      <c r="A7" t="inlineStr">
        <is>
          <t>Revenue Y1 (EUR)</t>
        </is>
      </c>
      <c r="B7" t="inlineStr">
        <is>
          <t>Ricavi anno 1</t>
        </is>
      </c>
      <c r="C7" t="inlineStr">
        <is>
          <t>Выручка, год 1</t>
        </is>
      </c>
      <c r="D7" s="5">
        <f>PnL_Annual!B14</f>
        <v/>
      </c>
    </row>
    <row r="8">
      <c r="A8" t="inlineStr">
        <is>
          <t>Revenue Y2 (EUR)</t>
        </is>
      </c>
      <c r="B8" t="inlineStr">
        <is>
          <t>Ricavi anno 2</t>
        </is>
      </c>
      <c r="C8" t="inlineStr">
        <is>
          <t>Выручка, год 2</t>
        </is>
      </c>
      <c r="D8" s="5">
        <f>PnL_Annual!C14</f>
        <v/>
      </c>
    </row>
    <row r="9">
      <c r="A9" t="inlineStr">
        <is>
          <t>EBITDA Y1 (EUR)</t>
        </is>
      </c>
      <c r="B9" t="inlineStr">
        <is>
          <t>EBITDA anno 1</t>
        </is>
      </c>
      <c r="C9" t="inlineStr">
        <is>
          <t>EBITDA, год 1</t>
        </is>
      </c>
      <c r="D9" s="5">
        <f>PnL_Annual!B17</f>
        <v/>
      </c>
    </row>
    <row r="10">
      <c r="A10" t="inlineStr">
        <is>
          <t>EBITDA Y2 (EUR)</t>
        </is>
      </c>
      <c r="B10" t="inlineStr">
        <is>
          <t>EBITDA anno 2</t>
        </is>
      </c>
      <c r="C10" t="inlineStr">
        <is>
          <t>EBITDA, год 2</t>
        </is>
      </c>
      <c r="D10" s="5">
        <f>PnL_Annual!C17</f>
        <v/>
      </c>
    </row>
    <row r="11">
      <c r="A11" t="inlineStr">
        <is>
          <t>Pre-launch investment (EUR)</t>
        </is>
      </c>
      <c r="B11" t="inlineStr">
        <is>
          <t>Investimento pre-lancio</t>
        </is>
      </c>
      <c r="C11" t="inlineStr">
        <is>
          <t>Предстартовые инвестиции</t>
        </is>
      </c>
      <c r="D11" s="5">
        <f>Assumptions!B28</f>
        <v/>
      </c>
    </row>
    <row r="12">
      <c r="A12" t="inlineStr">
        <is>
          <t>Peak funding need (EUR) = -min cumulative cash</t>
        </is>
      </c>
      <c r="B12" t="inlineStr">
        <is>
          <t>Fabbisogno finanziario massimo</t>
        </is>
      </c>
      <c r="C12" t="inlineStr">
        <is>
          <t>Пиковая потребность в финансировании = -min накопл. cash</t>
        </is>
      </c>
      <c r="D12" s="5">
        <f>-MIN(Model_24M!C83:AA83)</f>
        <v/>
      </c>
    </row>
    <row r="13">
      <c r="A13" t="inlineStr">
        <is>
          <t>Cumulative cash at month 24 (EUR)</t>
        </is>
      </c>
      <c r="B13" t="inlineStr">
        <is>
          <t>Cassa cumulata mese 24</t>
        </is>
      </c>
      <c r="C13" t="inlineStr">
        <is>
          <t>Накопленный cash на 24-й месяц</t>
        </is>
      </c>
      <c r="D13" s="5">
        <f>Model_24M!AA83</f>
        <v/>
      </c>
    </row>
    <row r="14">
      <c r="A14" t="inlineStr">
        <is>
          <t>First month with EBITDA &gt; 0 (999 = none in 24m)</t>
        </is>
      </c>
      <c r="B14" t="inlineStr">
        <is>
          <t>Primo mese con EBITDA &gt; 0 (999 = nessuno)</t>
        </is>
      </c>
      <c r="C14" t="inlineStr">
        <is>
          <t>Первый месяц с EBITDA &gt; 0 (999 = нет за 24 мес.)</t>
        </is>
      </c>
      <c r="D14" s="3">
        <f>MIN(Model_24M!C84:AA84)</f>
        <v/>
      </c>
    </row>
    <row r="16" ht="32" customHeight="1">
      <c r="A16" s="6" t="inlineStr">
        <is>
          <t>NOTE: all figures are scenario outputs of ILLUSTRATIVE assumptions (blue cells in Assumptions), not forecasts from sourced data. Replace with supplier quotes and pilot results.</t>
        </is>
      </c>
    </row>
    <row r="17" ht="32" customHeight="1">
      <c r="A17" s="6" t="inlineStr">
        <is>
          <t>NOTA: cifre = output di ipotesi ILLUSTRATIVE, non previsioni basate su dati verificati. Sostituire con preventivi fornitori e risultati pilota.</t>
        </is>
      </c>
    </row>
    <row r="18" ht="32" customHeight="1">
      <c r="A18" s="6" t="inlineStr">
        <is>
          <t>ПРИМЕЧАНИЕ: цифры - результат расчёта по ИЛЛЮСТРАТИВНЫМ допущениям, а не прогноз по проверенным данным. Заменить на коммерческие предложения поставщиков и итоги пилота.</t>
        </is>
      </c>
    </row>
  </sheetData>
  <mergeCells count="3">
    <mergeCell ref="A17:D17"/>
    <mergeCell ref="A18:D18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</cols>
  <sheetData>
    <row r="1">
      <c r="A1" s="2" t="inlineStr">
        <is>
          <t>Metric / Metrica / Показатель</t>
        </is>
      </c>
      <c r="B1" s="2" t="inlineStr">
        <is>
          <t>Value</t>
        </is>
      </c>
    </row>
    <row r="2">
      <c r="A2" t="inlineStr">
        <is>
          <t>Hotels in Liguria (2025, earlier research - verify with ISTAT/Regione)</t>
        </is>
      </c>
      <c r="B2" s="7" t="n">
        <v>1178</v>
      </c>
    </row>
    <row r="3">
      <c r="A3" t="inlineStr">
        <is>
          <t>B&amp;B / holiday accommodation businesses (earlier research - verify)</t>
        </is>
      </c>
      <c r="B3" s="7" t="n">
        <v>1559</v>
      </c>
    </row>
    <row r="4">
      <c r="A4" t="inlineStr">
        <is>
          <t>AAUT tourist apartments (earlier research - verify)</t>
        </is>
      </c>
      <c r="B4" s="7" t="n">
        <v>39099</v>
      </c>
    </row>
    <row r="5">
      <c r="A5" t="inlineStr">
        <is>
          <t>Arrivals, official accommodation 2025 (earlier research - verify)</t>
        </is>
      </c>
      <c r="B5" s="7" t="n">
        <v>5310000</v>
      </c>
    </row>
    <row r="6">
      <c r="A6" t="inlineStr">
        <is>
          <t>Nights, official accommodation 2025 (earlier research - verify)</t>
        </is>
      </c>
      <c r="B6" s="7" t="n">
        <v>15960000</v>
      </c>
    </row>
    <row r="8">
      <c r="A8" t="inlineStr">
        <is>
          <t>Addressable hotels+B&amp;B (excl. AAUT)</t>
        </is>
      </c>
      <c r="B8" s="4">
        <f>B2+B3</f>
        <v/>
      </c>
    </row>
    <row r="9">
      <c r="A9" t="inlineStr">
        <is>
          <t>Penetration at M24 (clients / addressable)</t>
        </is>
      </c>
      <c r="B9" s="8">
        <f>Assumptions!B10/B8</f>
        <v/>
      </c>
    </row>
    <row r="10">
      <c r="A10" t="inlineStr">
        <is>
          <t>Penetration at M24, only hotels</t>
        </is>
      </c>
      <c r="B10" s="8">
        <f>Assumptions!B10/B2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ASSUMPTIONS / IPOTESI / ДОПУЩЕНИЯ (EUR, ex VAT) - blue = editable input; ILLUSTRATIVE placeholders, replace with supplier quotes &amp; pilot data</t>
        </is>
      </c>
    </row>
    <row r="3">
      <c r="A3" s="2" t="inlineStr">
        <is>
          <t>Scenario / Scenario / Сценарий</t>
        </is>
      </c>
      <c r="B3" s="2" t="inlineStr">
        <is>
          <t>Clients M12</t>
        </is>
      </c>
      <c r="C3" s="2" t="inlineStr">
        <is>
          <t>Clients M24</t>
        </is>
      </c>
      <c r="D3" s="2" t="inlineStr">
        <is>
          <t>Opex multiplier</t>
        </is>
      </c>
    </row>
    <row r="4">
      <c r="A4" t="inlineStr">
        <is>
          <t>1 Lean</t>
        </is>
      </c>
      <c r="B4" s="9" t="n">
        <v>15</v>
      </c>
      <c r="C4" s="9" t="n">
        <v>35</v>
      </c>
      <c r="D4" s="9" t="n">
        <v>0.7</v>
      </c>
    </row>
    <row r="5">
      <c r="A5" t="inlineStr">
        <is>
          <t>2 Base Liguria</t>
        </is>
      </c>
      <c r="B5" s="9" t="n">
        <v>30</v>
      </c>
      <c r="C5" s="9" t="n">
        <v>80</v>
      </c>
      <c r="D5" s="9" t="n">
        <v>1</v>
      </c>
    </row>
    <row r="6">
      <c r="A6" t="inlineStr">
        <is>
          <t>3 Regional Scale</t>
        </is>
      </c>
      <c r="B6" s="9" t="n">
        <v>60</v>
      </c>
      <c r="C6" s="9" t="n">
        <v>160</v>
      </c>
      <c r="D6" s="9" t="n">
        <v>1.8</v>
      </c>
    </row>
    <row r="8">
      <c r="A8" t="inlineStr">
        <is>
          <t>Selected scenario (1/2/3) / Scenario scelto / Выбранный сценарий</t>
        </is>
      </c>
      <c r="B8" s="9" t="n">
        <v>2</v>
      </c>
    </row>
    <row r="9">
      <c r="A9" t="inlineStr">
        <is>
          <t>Clients at M12</t>
        </is>
      </c>
      <c r="B9">
        <f>INDEX(B4:B6,B8)</f>
        <v/>
      </c>
    </row>
    <row r="10">
      <c r="A10" t="inlineStr">
        <is>
          <t>Clients at M24</t>
        </is>
      </c>
      <c r="B10">
        <f>INDEX(C4:C6,B8)</f>
        <v/>
      </c>
    </row>
    <row r="11">
      <c r="A11" t="inlineStr">
        <is>
          <t>Opex multiplier</t>
        </is>
      </c>
      <c r="B11">
        <f>INDEX(D4:D6,B8)</f>
        <v/>
      </c>
    </row>
    <row r="12">
      <c r="A12" t="inlineStr">
        <is>
          <t>Simplified tax rate on positive EBITDA (IRES 24% + IRAP 3.9%; no loss carry-forward, no D&amp;A)</t>
        </is>
      </c>
      <c r="B12" s="10" t="n">
        <v>0.279</v>
      </c>
    </row>
    <row r="14">
      <c r="A14" s="2" t="inlineStr">
        <is>
          <t>Fixed opex EUR/month (x multiplier) / Costi fissi / Постоянные расходы</t>
        </is>
      </c>
      <c r="B14" s="2" t="inlineStr">
        <is>
          <t>EUR/month</t>
        </is>
      </c>
    </row>
    <row r="15">
      <c r="A15" t="inlineStr">
        <is>
          <t>Team (founder draw, part-time dev, installer) / Team / Команда</t>
        </is>
      </c>
      <c r="B15" s="11" t="n">
        <v>9500</v>
      </c>
    </row>
    <row r="16">
      <c r="A16" t="inlineStr">
        <is>
          <t>Marketing &amp; trade shows / Marketing / Маркетинг</t>
        </is>
      </c>
      <c r="B16" s="11" t="n">
        <v>1500</v>
      </c>
    </row>
    <row r="17">
      <c r="A17" t="inlineStr">
        <is>
          <t>Cloud, LLM base, tools / Cloud e strumenti / Облако и инструменты</t>
        </is>
      </c>
      <c r="B17" s="11" t="n">
        <v>600</v>
      </c>
    </row>
    <row r="18">
      <c r="A18" t="inlineStr">
        <is>
          <t>Legal, compliance, accounting / Legale e contabilita / Юристы и бухгалтерия</t>
        </is>
      </c>
      <c r="B18" s="11" t="n">
        <v>500</v>
      </c>
    </row>
    <row r="19">
      <c r="A19" t="inlineStr">
        <is>
          <t>Insurance, travel, other / Assicurazioni, viaggi / Страховка, поездки, прочее</t>
        </is>
      </c>
      <c r="B19" s="11" t="n">
        <v>900</v>
      </c>
    </row>
    <row r="20">
      <c r="A20" s="1" t="inlineStr">
        <is>
          <t>Total fixed opex / Totale / Итого</t>
        </is>
      </c>
      <c r="B20" s="5">
        <f>SUM(B15:B19)</f>
        <v/>
      </c>
    </row>
    <row r="22">
      <c r="A22" s="2" t="inlineStr">
        <is>
          <t>Pre-launch investment EUR (month 0) / Investimento pre-lancio / Предстартовые инвестиции</t>
        </is>
      </c>
      <c r="B22" s="2" t="inlineStr">
        <is>
          <t>EUR</t>
        </is>
      </c>
    </row>
    <row r="23">
      <c r="A23" t="inlineStr">
        <is>
          <t>CE/RED/EMC technical file &amp; lab checks / Fascicolo tecnico CE/RED / Тех. досье и лаборатория CE/RED</t>
        </is>
      </c>
      <c r="B23" s="11" t="n">
        <v>12000</v>
      </c>
    </row>
    <row r="24">
      <c r="A24" t="inlineStr">
        <is>
          <t>Demo kits &amp; samples / Kit demo e campioni / Демо-комплекты и образцы</t>
        </is>
      </c>
      <c r="B24" s="11" t="n">
        <v>8000</v>
      </c>
    </row>
    <row r="25">
      <c r="A25" t="inlineStr">
        <is>
          <t>Legal: GDPR/DPIA, contracts, licences / Legale / Юристы: GDPR, договоры, лицензии</t>
        </is>
      </c>
      <c r="B25" s="11" t="n">
        <v>6000</v>
      </c>
    </row>
    <row r="26">
      <c r="A26" t="inlineStr">
        <is>
          <t>Brand, website, demo environment / Brand e sito / Бренд, сайт, демо</t>
        </is>
      </c>
      <c r="B26" s="11" t="n">
        <v>4000</v>
      </c>
    </row>
    <row r="27">
      <c r="A27" t="inlineStr">
        <is>
          <t>Contingency % / Imprevisti / Резерв</t>
        </is>
      </c>
      <c r="B27" s="10" t="n">
        <v>0.1</v>
      </c>
    </row>
    <row r="28">
      <c r="A28" s="1" t="inlineStr">
        <is>
          <t>Total pre-launch / Totale / Итого</t>
        </is>
      </c>
      <c r="B28" s="5">
        <f>SUM(B23:B26)*(1+B27)</f>
        <v/>
      </c>
    </row>
    <row r="31">
      <c r="A31" s="2" t="inlineStr">
        <is>
          <t>Key</t>
        </is>
      </c>
      <c r="B31" s="2" t="inlineStr">
        <is>
          <t>Category EN</t>
        </is>
      </c>
      <c r="C31" s="2" t="inlineStr">
        <is>
          <t>Categoria IT</t>
        </is>
      </c>
      <c r="D31" s="2" t="inlineStr">
        <is>
          <t>Категория RU</t>
        </is>
      </c>
      <c r="E31" s="2" t="inlineStr">
        <is>
          <t>Adoption (% of clients)</t>
        </is>
      </c>
      <c r="F31" s="2" t="inlineStr">
        <is>
          <t>Units per adopting client</t>
        </is>
      </c>
      <c r="G31" s="2" t="inlineStr">
        <is>
          <t>Hardware price EUR/unit</t>
        </is>
      </c>
      <c r="H31" s="2" t="inlineStr">
        <is>
          <t>Landed cost EUR/unit</t>
        </is>
      </c>
      <c r="I31" s="2" t="inlineStr">
        <is>
          <t>Monthly fee EUR/unit</t>
        </is>
      </c>
      <c r="J31" s="2" t="inlineStr">
        <is>
          <t>Monthly direct cost EUR/unit</t>
        </is>
      </c>
      <c r="K31" s="2" t="inlineStr">
        <is>
          <t>Setup/install revenue EUR/unit</t>
        </is>
      </c>
      <c r="L31" s="2" t="inlineStr">
        <is>
          <t>Setup/install cost EUR/unit</t>
        </is>
      </c>
      <c r="M31" s="2" t="inlineStr">
        <is>
          <t>Start month</t>
        </is>
      </c>
    </row>
    <row r="32">
      <c r="A32" t="inlineStr">
        <is>
          <t>OS</t>
        </is>
      </c>
      <c r="B32" t="inlineStr">
        <is>
          <t>Hotel Agent OS (SaaS)</t>
        </is>
      </c>
      <c r="C32" t="inlineStr">
        <is>
          <t>Hotel Agent OS (SaaS)</t>
        </is>
      </c>
      <c r="D32" t="inlineStr">
        <is>
          <t>Hotel Agent OS (SaaS)</t>
        </is>
      </c>
      <c r="E32" s="10" t="n">
        <v>1</v>
      </c>
      <c r="F32" s="12" t="n">
        <v>1</v>
      </c>
      <c r="G32" s="12" t="n">
        <v>0</v>
      </c>
      <c r="H32" s="12" t="n">
        <v>0</v>
      </c>
      <c r="I32" s="12" t="n">
        <v>350</v>
      </c>
      <c r="J32" s="12" t="n">
        <v>90</v>
      </c>
      <c r="K32" s="12" t="n">
        <v>1500</v>
      </c>
      <c r="L32" s="12" t="n">
        <v>600</v>
      </c>
      <c r="M32" s="12" t="n">
        <v>1</v>
      </c>
    </row>
    <row r="33">
      <c r="A33" t="inlineStr">
        <is>
          <t>LOB</t>
        </is>
      </c>
      <c r="B33" t="inlineStr">
        <is>
          <t>Lobby GuestNode</t>
        </is>
      </c>
      <c r="C33" t="inlineStr">
        <is>
          <t>GuestNode Lobby</t>
        </is>
      </c>
      <c r="D33" t="inlineStr">
        <is>
          <t>GuestNode в лобби</t>
        </is>
      </c>
      <c r="E33" s="10" t="n">
        <v>0.6</v>
      </c>
      <c r="F33" s="12" t="n">
        <v>1</v>
      </c>
      <c r="G33" s="12" t="n">
        <v>650</v>
      </c>
      <c r="H33" s="12" t="n">
        <v>320</v>
      </c>
      <c r="I33" s="12" t="n">
        <v>60</v>
      </c>
      <c r="J33" s="12" t="n">
        <v>15</v>
      </c>
      <c r="K33" s="12" t="n">
        <v>150</v>
      </c>
      <c r="L33" s="12" t="n">
        <v>80</v>
      </c>
      <c r="M33" s="12" t="n">
        <v>1</v>
      </c>
    </row>
    <row r="34">
      <c r="A34" t="inlineStr">
        <is>
          <t>ROOM</t>
        </is>
      </c>
      <c r="B34" t="inlineStr">
        <is>
          <t>In-room GuestNode</t>
        </is>
      </c>
      <c r="C34" t="inlineStr">
        <is>
          <t>GuestNode in camera</t>
        </is>
      </c>
      <c r="D34" t="inlineStr">
        <is>
          <t>GuestNode в номере</t>
        </is>
      </c>
      <c r="E34" s="10" t="n">
        <v>0.15</v>
      </c>
      <c r="F34" s="12" t="n">
        <v>10</v>
      </c>
      <c r="G34" s="12" t="n">
        <v>140</v>
      </c>
      <c r="H34" s="12" t="n">
        <v>75</v>
      </c>
      <c r="I34" s="12" t="n">
        <v>6</v>
      </c>
      <c r="J34" s="12" t="n">
        <v>1.5</v>
      </c>
      <c r="K34" s="12" t="n">
        <v>0</v>
      </c>
      <c r="L34" s="12" t="n">
        <v>0</v>
      </c>
      <c r="M34" s="12" t="n">
        <v>4</v>
      </c>
    </row>
    <row r="35">
      <c r="A35" t="inlineStr">
        <is>
          <t>WALL</t>
        </is>
      </c>
      <c r="B35" t="inlineStr">
        <is>
          <t>Smart Travel Wall (vending+commerce)</t>
        </is>
      </c>
      <c r="C35" t="inlineStr">
        <is>
          <t>Smart Travel Wall (vending+commercio)</t>
        </is>
      </c>
      <c r="D35" t="inlineStr">
        <is>
          <t>Smart Travel Wall (vending+commerce)</t>
        </is>
      </c>
      <c r="E35" s="10" t="n">
        <v>0.3</v>
      </c>
      <c r="F35" s="12" t="n">
        <v>1</v>
      </c>
      <c r="G35" s="12" t="n">
        <v>3200</v>
      </c>
      <c r="H35" s="12" t="n">
        <v>1900</v>
      </c>
      <c r="I35" s="12" t="n">
        <v>180</v>
      </c>
      <c r="J35" s="12" t="n">
        <v>40</v>
      </c>
      <c r="K35" s="12" t="n">
        <v>200</v>
      </c>
      <c r="L35" s="12" t="n">
        <v>120</v>
      </c>
      <c r="M35" s="12" t="n">
        <v>3</v>
      </c>
    </row>
    <row r="36">
      <c r="A36" t="inlineStr">
        <is>
          <t>LOCK</t>
        </is>
      </c>
      <c r="B36" t="inlineStr">
        <is>
          <t>Rental &amp; luggage lockers</t>
        </is>
      </c>
      <c r="C36" t="inlineStr">
        <is>
          <t>Locker noleggio e bagagli</t>
        </is>
      </c>
      <c r="D36" t="inlineStr">
        <is>
          <t>Локеры: аренда и багаж</t>
        </is>
      </c>
      <c r="E36" s="10" t="n">
        <v>0.25</v>
      </c>
      <c r="F36" s="12" t="n">
        <v>1</v>
      </c>
      <c r="G36" s="12" t="n">
        <v>2800</v>
      </c>
      <c r="H36" s="12" t="n">
        <v>1700</v>
      </c>
      <c r="I36" s="12" t="n">
        <v>150</v>
      </c>
      <c r="J36" s="12" t="n">
        <v>25</v>
      </c>
      <c r="K36" s="12" t="n">
        <v>200</v>
      </c>
      <c r="L36" s="12" t="n">
        <v>120</v>
      </c>
      <c r="M36" s="12" t="n">
        <v>3</v>
      </c>
    </row>
    <row r="37">
      <c r="A37" t="inlineStr">
        <is>
          <t>IOT</t>
        </is>
      </c>
      <c r="B37" t="inlineStr">
        <is>
          <t>IoT Energy Kit (per room)</t>
        </is>
      </c>
      <c r="C37" t="inlineStr">
        <is>
          <t>Kit energia IoT (per camera)</t>
        </is>
      </c>
      <c r="D37" t="inlineStr">
        <is>
          <t>IoT Energy Kit (на номер)</t>
        </is>
      </c>
      <c r="E37" s="10" t="n">
        <v>0.3</v>
      </c>
      <c r="F37" s="12" t="n">
        <v>20</v>
      </c>
      <c r="G37" s="12" t="n">
        <v>190</v>
      </c>
      <c r="H37" s="12" t="n">
        <v>105</v>
      </c>
      <c r="I37" s="12" t="n">
        <v>4</v>
      </c>
      <c r="J37" s="12" t="n">
        <v>1</v>
      </c>
      <c r="K37" s="12" t="n">
        <v>20</v>
      </c>
      <c r="L37" s="12" t="n">
        <v>12</v>
      </c>
      <c r="M37" s="12" t="n">
        <v>3</v>
      </c>
    </row>
    <row r="38">
      <c r="A38" t="inlineStr">
        <is>
          <t>ACC</t>
        </is>
      </c>
      <c r="B38" t="inlineStr">
        <is>
          <t>Smart Access (per door)</t>
        </is>
      </c>
      <c r="C38" t="inlineStr">
        <is>
          <t>Smart Access (per porta)</t>
        </is>
      </c>
      <c r="D38" t="inlineStr">
        <is>
          <t>Smart Access (на дверь)</t>
        </is>
      </c>
      <c r="E38" s="10" t="n">
        <v>0.15</v>
      </c>
      <c r="F38" s="12" t="n">
        <v>15</v>
      </c>
      <c r="G38" s="12" t="n">
        <v>160</v>
      </c>
      <c r="H38" s="12" t="n">
        <v>90</v>
      </c>
      <c r="I38" s="12" t="n">
        <v>3</v>
      </c>
      <c r="J38" s="12" t="n">
        <v>0.8</v>
      </c>
      <c r="K38" s="12" t="n">
        <v>15</v>
      </c>
      <c r="L38" s="12" t="n">
        <v>10</v>
      </c>
      <c r="M38" s="12" t="n">
        <v>6</v>
      </c>
    </row>
    <row r="39">
      <c r="A39" t="inlineStr">
        <is>
          <t>KIO</t>
        </is>
      </c>
      <c r="B39" t="inlineStr">
        <is>
          <t>Check-in / ID kiosk</t>
        </is>
      </c>
      <c r="C39" t="inlineStr">
        <is>
          <t>Kiosk check-in / ID</t>
        </is>
      </c>
      <c r="D39" t="inlineStr">
        <is>
          <t>Киоск check-in / ID</t>
        </is>
      </c>
      <c r="E39" s="10" t="n">
        <v>0.1</v>
      </c>
      <c r="F39" s="12" t="n">
        <v>1</v>
      </c>
      <c r="G39" s="12" t="n">
        <v>3800</v>
      </c>
      <c r="H39" s="12" t="n">
        <v>2300</v>
      </c>
      <c r="I39" s="12" t="n">
        <v>120</v>
      </c>
      <c r="J39" s="12" t="n">
        <v>30</v>
      </c>
      <c r="K39" s="12" t="n">
        <v>300</v>
      </c>
      <c r="L39" s="12" t="n">
        <v>150</v>
      </c>
      <c r="M39" s="12" t="n">
        <v>6</v>
      </c>
    </row>
    <row r="40">
      <c r="A40" t="inlineStr">
        <is>
          <t>ROB</t>
        </is>
      </c>
      <c r="B40" t="inlineStr">
        <is>
          <t>Delivery/cleaning robot</t>
        </is>
      </c>
      <c r="C40" t="inlineStr">
        <is>
          <t>Robot consegna/pulizia</t>
        </is>
      </c>
      <c r="D40" t="inlineStr">
        <is>
          <t>Робот доставки/уборки</t>
        </is>
      </c>
      <c r="E40" s="10" t="n">
        <v>0.03</v>
      </c>
      <c r="F40" s="12" t="n">
        <v>1</v>
      </c>
      <c r="G40" s="12" t="n">
        <v>9000</v>
      </c>
      <c r="H40" s="12" t="n">
        <v>6500</v>
      </c>
      <c r="I40" s="12" t="n">
        <v>400</v>
      </c>
      <c r="J40" s="12" t="n">
        <v>150</v>
      </c>
      <c r="K40" s="12" t="n">
        <v>500</v>
      </c>
      <c r="L40" s="12" t="n">
        <v>300</v>
      </c>
      <c r="M40" s="12" t="n">
        <v>13</v>
      </c>
    </row>
    <row r="41">
      <c r="A41" t="inlineStr">
        <is>
          <t>VAPE</t>
        </is>
      </c>
      <c r="B41" t="inlineStr">
        <is>
          <t>Regulated vending (vape/nicotine) - EXCLUDED</t>
        </is>
      </c>
      <c r="C41" t="inlineStr">
        <is>
          <t>Vending regolamentato - ESCLUSO</t>
        </is>
      </c>
      <c r="D41" t="inlineStr">
        <is>
          <t>Регулируемый vending - ИСКЛЮЧЕН</t>
        </is>
      </c>
      <c r="E41" s="10" t="n">
        <v>0</v>
      </c>
      <c r="F41" s="12" t="n">
        <v>1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Monthly P&amp;L and cash flow / P&amp;L e cash flow mensili / Помесячные P&amp;L и cash flow (EUR)</t>
        </is>
      </c>
    </row>
    <row r="3">
      <c r="A3" s="1" t="inlineStr">
        <is>
          <t>Month / Mese / Месяц</t>
        </is>
      </c>
      <c r="C3" s="1" t="n">
        <v>0</v>
      </c>
      <c r="D3" s="1" t="n">
        <v>1</v>
      </c>
      <c r="E3" s="1" t="n">
        <v>2</v>
      </c>
      <c r="F3" s="1" t="n">
        <v>3</v>
      </c>
      <c r="G3" s="1" t="n">
        <v>4</v>
      </c>
      <c r="H3" s="1" t="n">
        <v>5</v>
      </c>
      <c r="I3" s="1" t="n">
        <v>6</v>
      </c>
      <c r="J3" s="1" t="n">
        <v>7</v>
      </c>
      <c r="K3" s="1" t="n">
        <v>8</v>
      </c>
      <c r="L3" s="1" t="n">
        <v>9</v>
      </c>
      <c r="M3" s="1" t="n">
        <v>10</v>
      </c>
      <c r="N3" s="1" t="n">
        <v>11</v>
      </c>
      <c r="O3" s="1" t="n">
        <v>12</v>
      </c>
      <c r="P3" s="1" t="n">
        <v>13</v>
      </c>
      <c r="Q3" s="1" t="n">
        <v>14</v>
      </c>
      <c r="R3" s="1" t="n">
        <v>15</v>
      </c>
      <c r="S3" s="1" t="n">
        <v>16</v>
      </c>
      <c r="T3" s="1" t="n">
        <v>17</v>
      </c>
      <c r="U3" s="1" t="n">
        <v>18</v>
      </c>
      <c r="V3" s="1" t="n">
        <v>19</v>
      </c>
      <c r="W3" s="1" t="n">
        <v>20</v>
      </c>
      <c r="X3" s="1" t="n">
        <v>21</v>
      </c>
      <c r="Y3" s="1" t="n">
        <v>22</v>
      </c>
      <c r="Z3" s="1" t="n">
        <v>23</v>
      </c>
      <c r="AA3" s="1" t="n">
        <v>24</v>
      </c>
    </row>
    <row r="4">
      <c r="A4" t="inlineStr">
        <is>
          <t>Clients cumulative / Clienti / Клиенты (накоп.)</t>
        </is>
      </c>
      <c r="C4" s="5" t="n">
        <v>0</v>
      </c>
      <c r="D4" s="5">
        <f>IF(D$3&lt;=12,Assumptions!$B$9*D$3/12,Assumptions!$B$9+(Assumptions!$B$10-Assumptions!$B$9)*(D$3-12)/12)</f>
        <v/>
      </c>
      <c r="E4" s="5">
        <f>IF(E$3&lt;=12,Assumptions!$B$9*E$3/12,Assumptions!$B$9+(Assumptions!$B$10-Assumptions!$B$9)*(E$3-12)/12)</f>
        <v/>
      </c>
      <c r="F4" s="5">
        <f>IF(F$3&lt;=12,Assumptions!$B$9*F$3/12,Assumptions!$B$9+(Assumptions!$B$10-Assumptions!$B$9)*(F$3-12)/12)</f>
        <v/>
      </c>
      <c r="G4" s="5">
        <f>IF(G$3&lt;=12,Assumptions!$B$9*G$3/12,Assumptions!$B$9+(Assumptions!$B$10-Assumptions!$B$9)*(G$3-12)/12)</f>
        <v/>
      </c>
      <c r="H4" s="5">
        <f>IF(H$3&lt;=12,Assumptions!$B$9*H$3/12,Assumptions!$B$9+(Assumptions!$B$10-Assumptions!$B$9)*(H$3-12)/12)</f>
        <v/>
      </c>
      <c r="I4" s="5">
        <f>IF(I$3&lt;=12,Assumptions!$B$9*I$3/12,Assumptions!$B$9+(Assumptions!$B$10-Assumptions!$B$9)*(I$3-12)/12)</f>
        <v/>
      </c>
      <c r="J4" s="5">
        <f>IF(J$3&lt;=12,Assumptions!$B$9*J$3/12,Assumptions!$B$9+(Assumptions!$B$10-Assumptions!$B$9)*(J$3-12)/12)</f>
        <v/>
      </c>
      <c r="K4" s="5">
        <f>IF(K$3&lt;=12,Assumptions!$B$9*K$3/12,Assumptions!$B$9+(Assumptions!$B$10-Assumptions!$B$9)*(K$3-12)/12)</f>
        <v/>
      </c>
      <c r="L4" s="5">
        <f>IF(L$3&lt;=12,Assumptions!$B$9*L$3/12,Assumptions!$B$9+(Assumptions!$B$10-Assumptions!$B$9)*(L$3-12)/12)</f>
        <v/>
      </c>
      <c r="M4" s="5">
        <f>IF(M$3&lt;=12,Assumptions!$B$9*M$3/12,Assumptions!$B$9+(Assumptions!$B$10-Assumptions!$B$9)*(M$3-12)/12)</f>
        <v/>
      </c>
      <c r="N4" s="5">
        <f>IF(N$3&lt;=12,Assumptions!$B$9*N$3/12,Assumptions!$B$9+(Assumptions!$B$10-Assumptions!$B$9)*(N$3-12)/12)</f>
        <v/>
      </c>
      <c r="O4" s="5">
        <f>IF(O$3&lt;=12,Assumptions!$B$9*O$3/12,Assumptions!$B$9+(Assumptions!$B$10-Assumptions!$B$9)*(O$3-12)/12)</f>
        <v/>
      </c>
      <c r="P4" s="5">
        <f>IF(P$3&lt;=12,Assumptions!$B$9*P$3/12,Assumptions!$B$9+(Assumptions!$B$10-Assumptions!$B$9)*(P$3-12)/12)</f>
        <v/>
      </c>
      <c r="Q4" s="5">
        <f>IF(Q$3&lt;=12,Assumptions!$B$9*Q$3/12,Assumptions!$B$9+(Assumptions!$B$10-Assumptions!$B$9)*(Q$3-12)/12)</f>
        <v/>
      </c>
      <c r="R4" s="5">
        <f>IF(R$3&lt;=12,Assumptions!$B$9*R$3/12,Assumptions!$B$9+(Assumptions!$B$10-Assumptions!$B$9)*(R$3-12)/12)</f>
        <v/>
      </c>
      <c r="S4" s="5">
        <f>IF(S$3&lt;=12,Assumptions!$B$9*S$3/12,Assumptions!$B$9+(Assumptions!$B$10-Assumptions!$B$9)*(S$3-12)/12)</f>
        <v/>
      </c>
      <c r="T4" s="5">
        <f>IF(T$3&lt;=12,Assumptions!$B$9*T$3/12,Assumptions!$B$9+(Assumptions!$B$10-Assumptions!$B$9)*(T$3-12)/12)</f>
        <v/>
      </c>
      <c r="U4" s="5">
        <f>IF(U$3&lt;=12,Assumptions!$B$9*U$3/12,Assumptions!$B$9+(Assumptions!$B$10-Assumptions!$B$9)*(U$3-12)/12)</f>
        <v/>
      </c>
      <c r="V4" s="5">
        <f>IF(V$3&lt;=12,Assumptions!$B$9*V$3/12,Assumptions!$B$9+(Assumptions!$B$10-Assumptions!$B$9)*(V$3-12)/12)</f>
        <v/>
      </c>
      <c r="W4" s="5">
        <f>IF(W$3&lt;=12,Assumptions!$B$9*W$3/12,Assumptions!$B$9+(Assumptions!$B$10-Assumptions!$B$9)*(W$3-12)/12)</f>
        <v/>
      </c>
      <c r="X4" s="5">
        <f>IF(X$3&lt;=12,Assumptions!$B$9*X$3/12,Assumptions!$B$9+(Assumptions!$B$10-Assumptions!$B$9)*(X$3-12)/12)</f>
        <v/>
      </c>
      <c r="Y4" s="5">
        <f>IF(Y$3&lt;=12,Assumptions!$B$9*Y$3/12,Assumptions!$B$9+(Assumptions!$B$10-Assumptions!$B$9)*(Y$3-12)/12)</f>
        <v/>
      </c>
      <c r="Z4" s="5">
        <f>IF(Z$3&lt;=12,Assumptions!$B$9*Z$3/12,Assumptions!$B$9+(Assumptions!$B$10-Assumptions!$B$9)*(Z$3-12)/12)</f>
        <v/>
      </c>
      <c r="AA4" s="5">
        <f>IF(AA$3&lt;=12,Assumptions!$B$9*AA$3/12,Assumptions!$B$9+(Assumptions!$B$10-Assumptions!$B$9)*(AA$3-12)/12)</f>
        <v/>
      </c>
    </row>
    <row r="5">
      <c r="A5" t="inlineStr">
        <is>
          <t>New clients / Nuovi / Новые клиенты</t>
        </is>
      </c>
      <c r="C5" s="5" t="n"/>
      <c r="D5" s="5">
        <f>D4-C4</f>
        <v/>
      </c>
      <c r="E5" s="5">
        <f>E4-D4</f>
        <v/>
      </c>
      <c r="F5" s="5">
        <f>F4-E4</f>
        <v/>
      </c>
      <c r="G5" s="5">
        <f>G4-F4</f>
        <v/>
      </c>
      <c r="H5" s="5">
        <f>H4-G4</f>
        <v/>
      </c>
      <c r="I5" s="5">
        <f>I4-H4</f>
        <v/>
      </c>
      <c r="J5" s="5">
        <f>J4-I4</f>
        <v/>
      </c>
      <c r="K5" s="5">
        <f>K4-J4</f>
        <v/>
      </c>
      <c r="L5" s="5">
        <f>L4-K4</f>
        <v/>
      </c>
      <c r="M5" s="5">
        <f>M4-L4</f>
        <v/>
      </c>
      <c r="N5" s="5">
        <f>N4-M4</f>
        <v/>
      </c>
      <c r="O5" s="5">
        <f>O4-N4</f>
        <v/>
      </c>
      <c r="P5" s="5">
        <f>P4-O4</f>
        <v/>
      </c>
      <c r="Q5" s="5">
        <f>Q4-P4</f>
        <v/>
      </c>
      <c r="R5" s="5">
        <f>R4-Q4</f>
        <v/>
      </c>
      <c r="S5" s="5">
        <f>S4-R4</f>
        <v/>
      </c>
      <c r="T5" s="5">
        <f>T4-S4</f>
        <v/>
      </c>
      <c r="U5" s="5">
        <f>U4-T4</f>
        <v/>
      </c>
      <c r="V5" s="5">
        <f>V4-U4</f>
        <v/>
      </c>
      <c r="W5" s="5">
        <f>W4-V4</f>
        <v/>
      </c>
      <c r="X5" s="5">
        <f>X4-W4</f>
        <v/>
      </c>
      <c r="Y5" s="5">
        <f>Y4-X4</f>
        <v/>
      </c>
      <c r="Z5" s="5">
        <f>Z4-Y4</f>
        <v/>
      </c>
      <c r="AA5" s="5">
        <f>AA4-Z4</f>
        <v/>
      </c>
    </row>
    <row r="6"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1">
        <f>Assumptions!B32&amp;" / "&amp;Assumptions!C32&amp;" / "&amp;Assumptions!D32</f>
        <v/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t="inlineStr">
        <is>
          <t>Units installed (cum.)</t>
        </is>
      </c>
      <c r="C9" s="5" t="n">
        <v>0</v>
      </c>
      <c r="D9" s="5">
        <f>IF(D$3&gt;=Assumptions!$M$32,D$4*Assumptions!$E$32*Assumptions!$F$32,0)</f>
        <v/>
      </c>
      <c r="E9" s="5">
        <f>IF(E$3&gt;=Assumptions!$M$32,E$4*Assumptions!$E$32*Assumptions!$F$32,0)</f>
        <v/>
      </c>
      <c r="F9" s="5">
        <f>IF(F$3&gt;=Assumptions!$M$32,F$4*Assumptions!$E$32*Assumptions!$F$32,0)</f>
        <v/>
      </c>
      <c r="G9" s="5">
        <f>IF(G$3&gt;=Assumptions!$M$32,G$4*Assumptions!$E$32*Assumptions!$F$32,0)</f>
        <v/>
      </c>
      <c r="H9" s="5">
        <f>IF(H$3&gt;=Assumptions!$M$32,H$4*Assumptions!$E$32*Assumptions!$F$32,0)</f>
        <v/>
      </c>
      <c r="I9" s="5">
        <f>IF(I$3&gt;=Assumptions!$M$32,I$4*Assumptions!$E$32*Assumptions!$F$32,0)</f>
        <v/>
      </c>
      <c r="J9" s="5">
        <f>IF(J$3&gt;=Assumptions!$M$32,J$4*Assumptions!$E$32*Assumptions!$F$32,0)</f>
        <v/>
      </c>
      <c r="K9" s="5">
        <f>IF(K$3&gt;=Assumptions!$M$32,K$4*Assumptions!$E$32*Assumptions!$F$32,0)</f>
        <v/>
      </c>
      <c r="L9" s="5">
        <f>IF(L$3&gt;=Assumptions!$M$32,L$4*Assumptions!$E$32*Assumptions!$F$32,0)</f>
        <v/>
      </c>
      <c r="M9" s="5">
        <f>IF(M$3&gt;=Assumptions!$M$32,M$4*Assumptions!$E$32*Assumptions!$F$32,0)</f>
        <v/>
      </c>
      <c r="N9" s="5">
        <f>IF(N$3&gt;=Assumptions!$M$32,N$4*Assumptions!$E$32*Assumptions!$F$32,0)</f>
        <v/>
      </c>
      <c r="O9" s="5">
        <f>IF(O$3&gt;=Assumptions!$M$32,O$4*Assumptions!$E$32*Assumptions!$F$32,0)</f>
        <v/>
      </c>
      <c r="P9" s="5">
        <f>IF(P$3&gt;=Assumptions!$M$32,P$4*Assumptions!$E$32*Assumptions!$F$32,0)</f>
        <v/>
      </c>
      <c r="Q9" s="5">
        <f>IF(Q$3&gt;=Assumptions!$M$32,Q$4*Assumptions!$E$32*Assumptions!$F$32,0)</f>
        <v/>
      </c>
      <c r="R9" s="5">
        <f>IF(R$3&gt;=Assumptions!$M$32,R$4*Assumptions!$E$32*Assumptions!$F$32,0)</f>
        <v/>
      </c>
      <c r="S9" s="5">
        <f>IF(S$3&gt;=Assumptions!$M$32,S$4*Assumptions!$E$32*Assumptions!$F$32,0)</f>
        <v/>
      </c>
      <c r="T9" s="5">
        <f>IF(T$3&gt;=Assumptions!$M$32,T$4*Assumptions!$E$32*Assumptions!$F$32,0)</f>
        <v/>
      </c>
      <c r="U9" s="5">
        <f>IF(U$3&gt;=Assumptions!$M$32,U$4*Assumptions!$E$32*Assumptions!$F$32,0)</f>
        <v/>
      </c>
      <c r="V9" s="5">
        <f>IF(V$3&gt;=Assumptions!$M$32,V$4*Assumptions!$E$32*Assumptions!$F$32,0)</f>
        <v/>
      </c>
      <c r="W9" s="5">
        <f>IF(W$3&gt;=Assumptions!$M$32,W$4*Assumptions!$E$32*Assumptions!$F$32,0)</f>
        <v/>
      </c>
      <c r="X9" s="5">
        <f>IF(X$3&gt;=Assumptions!$M$32,X$4*Assumptions!$E$32*Assumptions!$F$32,0)</f>
        <v/>
      </c>
      <c r="Y9" s="5">
        <f>IF(Y$3&gt;=Assumptions!$M$32,Y$4*Assumptions!$E$32*Assumptions!$F$32,0)</f>
        <v/>
      </c>
      <c r="Z9" s="5">
        <f>IF(Z$3&gt;=Assumptions!$M$32,Z$4*Assumptions!$E$32*Assumptions!$F$32,0)</f>
        <v/>
      </c>
      <c r="AA9" s="5">
        <f>IF(AA$3&gt;=Assumptions!$M$32,AA$4*Assumptions!$E$32*Assumptions!$F$32,0)</f>
        <v/>
      </c>
    </row>
    <row r="10">
      <c r="A10" t="inlineStr">
        <is>
          <t>New units</t>
        </is>
      </c>
      <c r="C10" s="5" t="n">
        <v>0</v>
      </c>
      <c r="D10" s="5">
        <f>D9-C9</f>
        <v/>
      </c>
      <c r="E10" s="5">
        <f>E9-D9</f>
        <v/>
      </c>
      <c r="F10" s="5">
        <f>F9-E9</f>
        <v/>
      </c>
      <c r="G10" s="5">
        <f>G9-F9</f>
        <v/>
      </c>
      <c r="H10" s="5">
        <f>H9-G9</f>
        <v/>
      </c>
      <c r="I10" s="5">
        <f>I9-H9</f>
        <v/>
      </c>
      <c r="J10" s="5">
        <f>J9-I9</f>
        <v/>
      </c>
      <c r="K10" s="5">
        <f>K9-J9</f>
        <v/>
      </c>
      <c r="L10" s="5">
        <f>L9-K9</f>
        <v/>
      </c>
      <c r="M10" s="5">
        <f>M9-L9</f>
        <v/>
      </c>
      <c r="N10" s="5">
        <f>N9-M9</f>
        <v/>
      </c>
      <c r="O10" s="5">
        <f>O9-N9</f>
        <v/>
      </c>
      <c r="P10" s="5">
        <f>P9-O9</f>
        <v/>
      </c>
      <c r="Q10" s="5">
        <f>Q9-P9</f>
        <v/>
      </c>
      <c r="R10" s="5">
        <f>R9-Q9</f>
        <v/>
      </c>
      <c r="S10" s="5">
        <f>S9-R9</f>
        <v/>
      </c>
      <c r="T10" s="5">
        <f>T9-S9</f>
        <v/>
      </c>
      <c r="U10" s="5">
        <f>U9-T9</f>
        <v/>
      </c>
      <c r="V10" s="5">
        <f>V9-U9</f>
        <v/>
      </c>
      <c r="W10" s="5">
        <f>W9-V9</f>
        <v/>
      </c>
      <c r="X10" s="5">
        <f>X9-W9</f>
        <v/>
      </c>
      <c r="Y10" s="5">
        <f>Y9-X9</f>
        <v/>
      </c>
      <c r="Z10" s="5">
        <f>Z9-Y9</f>
        <v/>
      </c>
      <c r="AA10" s="5">
        <f>AA9-Z9</f>
        <v/>
      </c>
    </row>
    <row r="11">
      <c r="A11" t="inlineStr">
        <is>
          <t>Revenue</t>
        </is>
      </c>
      <c r="C11" s="5" t="n">
        <v>0</v>
      </c>
      <c r="D11" s="5">
        <f>D10*(Assumptions!$G$32+Assumptions!$K$32)+D9*Assumptions!$I$32</f>
        <v/>
      </c>
      <c r="E11" s="5">
        <f>E10*(Assumptions!$G$32+Assumptions!$K$32)+E9*Assumptions!$I$32</f>
        <v/>
      </c>
      <c r="F11" s="5">
        <f>F10*(Assumptions!$G$32+Assumptions!$K$32)+F9*Assumptions!$I$32</f>
        <v/>
      </c>
      <c r="G11" s="5">
        <f>G10*(Assumptions!$G$32+Assumptions!$K$32)+G9*Assumptions!$I$32</f>
        <v/>
      </c>
      <c r="H11" s="5">
        <f>H10*(Assumptions!$G$32+Assumptions!$K$32)+H9*Assumptions!$I$32</f>
        <v/>
      </c>
      <c r="I11" s="5">
        <f>I10*(Assumptions!$G$32+Assumptions!$K$32)+I9*Assumptions!$I$32</f>
        <v/>
      </c>
      <c r="J11" s="5">
        <f>J10*(Assumptions!$G$32+Assumptions!$K$32)+J9*Assumptions!$I$32</f>
        <v/>
      </c>
      <c r="K11" s="5">
        <f>K10*(Assumptions!$G$32+Assumptions!$K$32)+K9*Assumptions!$I$32</f>
        <v/>
      </c>
      <c r="L11" s="5">
        <f>L10*(Assumptions!$G$32+Assumptions!$K$32)+L9*Assumptions!$I$32</f>
        <v/>
      </c>
      <c r="M11" s="5">
        <f>M10*(Assumptions!$G$32+Assumptions!$K$32)+M9*Assumptions!$I$32</f>
        <v/>
      </c>
      <c r="N11" s="5">
        <f>N10*(Assumptions!$G$32+Assumptions!$K$32)+N9*Assumptions!$I$32</f>
        <v/>
      </c>
      <c r="O11" s="5">
        <f>O10*(Assumptions!$G$32+Assumptions!$K$32)+O9*Assumptions!$I$32</f>
        <v/>
      </c>
      <c r="P11" s="5">
        <f>P10*(Assumptions!$G$32+Assumptions!$K$32)+P9*Assumptions!$I$32</f>
        <v/>
      </c>
      <c r="Q11" s="5">
        <f>Q10*(Assumptions!$G$32+Assumptions!$K$32)+Q9*Assumptions!$I$32</f>
        <v/>
      </c>
      <c r="R11" s="5">
        <f>R10*(Assumptions!$G$32+Assumptions!$K$32)+R9*Assumptions!$I$32</f>
        <v/>
      </c>
      <c r="S11" s="5">
        <f>S10*(Assumptions!$G$32+Assumptions!$K$32)+S9*Assumptions!$I$32</f>
        <v/>
      </c>
      <c r="T11" s="5">
        <f>T10*(Assumptions!$G$32+Assumptions!$K$32)+T9*Assumptions!$I$32</f>
        <v/>
      </c>
      <c r="U11" s="5">
        <f>U10*(Assumptions!$G$32+Assumptions!$K$32)+U9*Assumptions!$I$32</f>
        <v/>
      </c>
      <c r="V11" s="5">
        <f>V10*(Assumptions!$G$32+Assumptions!$K$32)+V9*Assumptions!$I$32</f>
        <v/>
      </c>
      <c r="W11" s="5">
        <f>W10*(Assumptions!$G$32+Assumptions!$K$32)+W9*Assumptions!$I$32</f>
        <v/>
      </c>
      <c r="X11" s="5">
        <f>X10*(Assumptions!$G$32+Assumptions!$K$32)+X9*Assumptions!$I$32</f>
        <v/>
      </c>
      <c r="Y11" s="5">
        <f>Y10*(Assumptions!$G$32+Assumptions!$K$32)+Y9*Assumptions!$I$32</f>
        <v/>
      </c>
      <c r="Z11" s="5">
        <f>Z10*(Assumptions!$G$32+Assumptions!$K$32)+Z9*Assumptions!$I$32</f>
        <v/>
      </c>
      <c r="AA11" s="5">
        <f>AA10*(Assumptions!$G$32+Assumptions!$K$32)+AA9*Assumptions!$I$32</f>
        <v/>
      </c>
    </row>
    <row r="12">
      <c r="A12" t="inlineStr">
        <is>
          <t>Direct cost</t>
        </is>
      </c>
      <c r="C12" s="5" t="n">
        <v>0</v>
      </c>
      <c r="D12" s="5">
        <f>D10*(Assumptions!$H$32+Assumptions!$L$32)+D9*Assumptions!$J$32</f>
        <v/>
      </c>
      <c r="E12" s="5">
        <f>E10*(Assumptions!$H$32+Assumptions!$L$32)+E9*Assumptions!$J$32</f>
        <v/>
      </c>
      <c r="F12" s="5">
        <f>F10*(Assumptions!$H$32+Assumptions!$L$32)+F9*Assumptions!$J$32</f>
        <v/>
      </c>
      <c r="G12" s="5">
        <f>G10*(Assumptions!$H$32+Assumptions!$L$32)+G9*Assumptions!$J$32</f>
        <v/>
      </c>
      <c r="H12" s="5">
        <f>H10*(Assumptions!$H$32+Assumptions!$L$32)+H9*Assumptions!$J$32</f>
        <v/>
      </c>
      <c r="I12" s="5">
        <f>I10*(Assumptions!$H$32+Assumptions!$L$32)+I9*Assumptions!$J$32</f>
        <v/>
      </c>
      <c r="J12" s="5">
        <f>J10*(Assumptions!$H$32+Assumptions!$L$32)+J9*Assumptions!$J$32</f>
        <v/>
      </c>
      <c r="K12" s="5">
        <f>K10*(Assumptions!$H$32+Assumptions!$L$32)+K9*Assumptions!$J$32</f>
        <v/>
      </c>
      <c r="L12" s="5">
        <f>L10*(Assumptions!$H$32+Assumptions!$L$32)+L9*Assumptions!$J$32</f>
        <v/>
      </c>
      <c r="M12" s="5">
        <f>M10*(Assumptions!$H$32+Assumptions!$L$32)+M9*Assumptions!$J$32</f>
        <v/>
      </c>
      <c r="N12" s="5">
        <f>N10*(Assumptions!$H$32+Assumptions!$L$32)+N9*Assumptions!$J$32</f>
        <v/>
      </c>
      <c r="O12" s="5">
        <f>O10*(Assumptions!$H$32+Assumptions!$L$32)+O9*Assumptions!$J$32</f>
        <v/>
      </c>
      <c r="P12" s="5">
        <f>P10*(Assumptions!$H$32+Assumptions!$L$32)+P9*Assumptions!$J$32</f>
        <v/>
      </c>
      <c r="Q12" s="5">
        <f>Q10*(Assumptions!$H$32+Assumptions!$L$32)+Q9*Assumptions!$J$32</f>
        <v/>
      </c>
      <c r="R12" s="5">
        <f>R10*(Assumptions!$H$32+Assumptions!$L$32)+R9*Assumptions!$J$32</f>
        <v/>
      </c>
      <c r="S12" s="5">
        <f>S10*(Assumptions!$H$32+Assumptions!$L$32)+S9*Assumptions!$J$32</f>
        <v/>
      </c>
      <c r="T12" s="5">
        <f>T10*(Assumptions!$H$32+Assumptions!$L$32)+T9*Assumptions!$J$32</f>
        <v/>
      </c>
      <c r="U12" s="5">
        <f>U10*(Assumptions!$H$32+Assumptions!$L$32)+U9*Assumptions!$J$32</f>
        <v/>
      </c>
      <c r="V12" s="5">
        <f>V10*(Assumptions!$H$32+Assumptions!$L$32)+V9*Assumptions!$J$32</f>
        <v/>
      </c>
      <c r="W12" s="5">
        <f>W10*(Assumptions!$H$32+Assumptions!$L$32)+W9*Assumptions!$J$32</f>
        <v/>
      </c>
      <c r="X12" s="5">
        <f>X10*(Assumptions!$H$32+Assumptions!$L$32)+X9*Assumptions!$J$32</f>
        <v/>
      </c>
      <c r="Y12" s="5">
        <f>Y10*(Assumptions!$H$32+Assumptions!$L$32)+Y9*Assumptions!$J$32</f>
        <v/>
      </c>
      <c r="Z12" s="5">
        <f>Z10*(Assumptions!$H$32+Assumptions!$L$32)+Z9*Assumptions!$J$32</f>
        <v/>
      </c>
      <c r="AA12" s="5">
        <f>AA10*(Assumptions!$H$32+Assumptions!$L$32)+AA9*Assumptions!$J$32</f>
        <v/>
      </c>
    </row>
    <row r="13"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1">
        <f>Assumptions!B33&amp;" / "&amp;Assumptions!C33&amp;" / "&amp;Assumptions!D33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t="inlineStr">
        <is>
          <t>Units installed (cum.)</t>
        </is>
      </c>
      <c r="C15" s="5" t="n">
        <v>0</v>
      </c>
      <c r="D15" s="5">
        <f>IF(D$3&gt;=Assumptions!$M$33,D$4*Assumptions!$E$33*Assumptions!$F$33,0)</f>
        <v/>
      </c>
      <c r="E15" s="5">
        <f>IF(E$3&gt;=Assumptions!$M$33,E$4*Assumptions!$E$33*Assumptions!$F$33,0)</f>
        <v/>
      </c>
      <c r="F15" s="5">
        <f>IF(F$3&gt;=Assumptions!$M$33,F$4*Assumptions!$E$33*Assumptions!$F$33,0)</f>
        <v/>
      </c>
      <c r="G15" s="5">
        <f>IF(G$3&gt;=Assumptions!$M$33,G$4*Assumptions!$E$33*Assumptions!$F$33,0)</f>
        <v/>
      </c>
      <c r="H15" s="5">
        <f>IF(H$3&gt;=Assumptions!$M$33,H$4*Assumptions!$E$33*Assumptions!$F$33,0)</f>
        <v/>
      </c>
      <c r="I15" s="5">
        <f>IF(I$3&gt;=Assumptions!$M$33,I$4*Assumptions!$E$33*Assumptions!$F$33,0)</f>
        <v/>
      </c>
      <c r="J15" s="5">
        <f>IF(J$3&gt;=Assumptions!$M$33,J$4*Assumptions!$E$33*Assumptions!$F$33,0)</f>
        <v/>
      </c>
      <c r="K15" s="5">
        <f>IF(K$3&gt;=Assumptions!$M$33,K$4*Assumptions!$E$33*Assumptions!$F$33,0)</f>
        <v/>
      </c>
      <c r="L15" s="5">
        <f>IF(L$3&gt;=Assumptions!$M$33,L$4*Assumptions!$E$33*Assumptions!$F$33,0)</f>
        <v/>
      </c>
      <c r="M15" s="5">
        <f>IF(M$3&gt;=Assumptions!$M$33,M$4*Assumptions!$E$33*Assumptions!$F$33,0)</f>
        <v/>
      </c>
      <c r="N15" s="5">
        <f>IF(N$3&gt;=Assumptions!$M$33,N$4*Assumptions!$E$33*Assumptions!$F$33,0)</f>
        <v/>
      </c>
      <c r="O15" s="5">
        <f>IF(O$3&gt;=Assumptions!$M$33,O$4*Assumptions!$E$33*Assumptions!$F$33,0)</f>
        <v/>
      </c>
      <c r="P15" s="5">
        <f>IF(P$3&gt;=Assumptions!$M$33,P$4*Assumptions!$E$33*Assumptions!$F$33,0)</f>
        <v/>
      </c>
      <c r="Q15" s="5">
        <f>IF(Q$3&gt;=Assumptions!$M$33,Q$4*Assumptions!$E$33*Assumptions!$F$33,0)</f>
        <v/>
      </c>
      <c r="R15" s="5">
        <f>IF(R$3&gt;=Assumptions!$M$33,R$4*Assumptions!$E$33*Assumptions!$F$33,0)</f>
        <v/>
      </c>
      <c r="S15" s="5">
        <f>IF(S$3&gt;=Assumptions!$M$33,S$4*Assumptions!$E$33*Assumptions!$F$33,0)</f>
        <v/>
      </c>
      <c r="T15" s="5">
        <f>IF(T$3&gt;=Assumptions!$M$33,T$4*Assumptions!$E$33*Assumptions!$F$33,0)</f>
        <v/>
      </c>
      <c r="U15" s="5">
        <f>IF(U$3&gt;=Assumptions!$M$33,U$4*Assumptions!$E$33*Assumptions!$F$33,0)</f>
        <v/>
      </c>
      <c r="V15" s="5">
        <f>IF(V$3&gt;=Assumptions!$M$33,V$4*Assumptions!$E$33*Assumptions!$F$33,0)</f>
        <v/>
      </c>
      <c r="W15" s="5">
        <f>IF(W$3&gt;=Assumptions!$M$33,W$4*Assumptions!$E$33*Assumptions!$F$33,0)</f>
        <v/>
      </c>
      <c r="X15" s="5">
        <f>IF(X$3&gt;=Assumptions!$M$33,X$4*Assumptions!$E$33*Assumptions!$F$33,0)</f>
        <v/>
      </c>
      <c r="Y15" s="5">
        <f>IF(Y$3&gt;=Assumptions!$M$33,Y$4*Assumptions!$E$33*Assumptions!$F$33,0)</f>
        <v/>
      </c>
      <c r="Z15" s="5">
        <f>IF(Z$3&gt;=Assumptions!$M$33,Z$4*Assumptions!$E$33*Assumptions!$F$33,0)</f>
        <v/>
      </c>
      <c r="AA15" s="5">
        <f>IF(AA$3&gt;=Assumptions!$M$33,AA$4*Assumptions!$E$33*Assumptions!$F$33,0)</f>
        <v/>
      </c>
    </row>
    <row r="16">
      <c r="A16" t="inlineStr">
        <is>
          <t>New units</t>
        </is>
      </c>
      <c r="C16" s="5" t="n">
        <v>0</v>
      </c>
      <c r="D16" s="5">
        <f>D15-C15</f>
        <v/>
      </c>
      <c r="E16" s="5">
        <f>E15-D15</f>
        <v/>
      </c>
      <c r="F16" s="5">
        <f>F15-E15</f>
        <v/>
      </c>
      <c r="G16" s="5">
        <f>G15-F15</f>
        <v/>
      </c>
      <c r="H16" s="5">
        <f>H15-G15</f>
        <v/>
      </c>
      <c r="I16" s="5">
        <f>I15-H15</f>
        <v/>
      </c>
      <c r="J16" s="5">
        <f>J15-I15</f>
        <v/>
      </c>
      <c r="K16" s="5">
        <f>K15-J15</f>
        <v/>
      </c>
      <c r="L16" s="5">
        <f>L15-K15</f>
        <v/>
      </c>
      <c r="M16" s="5">
        <f>M15-L15</f>
        <v/>
      </c>
      <c r="N16" s="5">
        <f>N15-M15</f>
        <v/>
      </c>
      <c r="O16" s="5">
        <f>O15-N15</f>
        <v/>
      </c>
      <c r="P16" s="5">
        <f>P15-O15</f>
        <v/>
      </c>
      <c r="Q16" s="5">
        <f>Q15-P15</f>
        <v/>
      </c>
      <c r="R16" s="5">
        <f>R15-Q15</f>
        <v/>
      </c>
      <c r="S16" s="5">
        <f>S15-R15</f>
        <v/>
      </c>
      <c r="T16" s="5">
        <f>T15-S15</f>
        <v/>
      </c>
      <c r="U16" s="5">
        <f>U15-T15</f>
        <v/>
      </c>
      <c r="V16" s="5">
        <f>V15-U15</f>
        <v/>
      </c>
      <c r="W16" s="5">
        <f>W15-V15</f>
        <v/>
      </c>
      <c r="X16" s="5">
        <f>X15-W15</f>
        <v/>
      </c>
      <c r="Y16" s="5">
        <f>Y15-X15</f>
        <v/>
      </c>
      <c r="Z16" s="5">
        <f>Z15-Y15</f>
        <v/>
      </c>
      <c r="AA16" s="5">
        <f>AA15-Z15</f>
        <v/>
      </c>
    </row>
    <row r="17">
      <c r="A17" t="inlineStr">
        <is>
          <t>Revenue</t>
        </is>
      </c>
      <c r="C17" s="5" t="n">
        <v>0</v>
      </c>
      <c r="D17" s="5">
        <f>D16*(Assumptions!$G$33+Assumptions!$K$33)+D15*Assumptions!$I$33</f>
        <v/>
      </c>
      <c r="E17" s="5">
        <f>E16*(Assumptions!$G$33+Assumptions!$K$33)+E15*Assumptions!$I$33</f>
        <v/>
      </c>
      <c r="F17" s="5">
        <f>F16*(Assumptions!$G$33+Assumptions!$K$33)+F15*Assumptions!$I$33</f>
        <v/>
      </c>
      <c r="G17" s="5">
        <f>G16*(Assumptions!$G$33+Assumptions!$K$33)+G15*Assumptions!$I$33</f>
        <v/>
      </c>
      <c r="H17" s="5">
        <f>H16*(Assumptions!$G$33+Assumptions!$K$33)+H15*Assumptions!$I$33</f>
        <v/>
      </c>
      <c r="I17" s="5">
        <f>I16*(Assumptions!$G$33+Assumptions!$K$33)+I15*Assumptions!$I$33</f>
        <v/>
      </c>
      <c r="J17" s="5">
        <f>J16*(Assumptions!$G$33+Assumptions!$K$33)+J15*Assumptions!$I$33</f>
        <v/>
      </c>
      <c r="K17" s="5">
        <f>K16*(Assumptions!$G$33+Assumptions!$K$33)+K15*Assumptions!$I$33</f>
        <v/>
      </c>
      <c r="L17" s="5">
        <f>L16*(Assumptions!$G$33+Assumptions!$K$33)+L15*Assumptions!$I$33</f>
        <v/>
      </c>
      <c r="M17" s="5">
        <f>M16*(Assumptions!$G$33+Assumptions!$K$33)+M15*Assumptions!$I$33</f>
        <v/>
      </c>
      <c r="N17" s="5">
        <f>N16*(Assumptions!$G$33+Assumptions!$K$33)+N15*Assumptions!$I$33</f>
        <v/>
      </c>
      <c r="O17" s="5">
        <f>O16*(Assumptions!$G$33+Assumptions!$K$33)+O15*Assumptions!$I$33</f>
        <v/>
      </c>
      <c r="P17" s="5">
        <f>P16*(Assumptions!$G$33+Assumptions!$K$33)+P15*Assumptions!$I$33</f>
        <v/>
      </c>
      <c r="Q17" s="5">
        <f>Q16*(Assumptions!$G$33+Assumptions!$K$33)+Q15*Assumptions!$I$33</f>
        <v/>
      </c>
      <c r="R17" s="5">
        <f>R16*(Assumptions!$G$33+Assumptions!$K$33)+R15*Assumptions!$I$33</f>
        <v/>
      </c>
      <c r="S17" s="5">
        <f>S16*(Assumptions!$G$33+Assumptions!$K$33)+S15*Assumptions!$I$33</f>
        <v/>
      </c>
      <c r="T17" s="5">
        <f>T16*(Assumptions!$G$33+Assumptions!$K$33)+T15*Assumptions!$I$33</f>
        <v/>
      </c>
      <c r="U17" s="5">
        <f>U16*(Assumptions!$G$33+Assumptions!$K$33)+U15*Assumptions!$I$33</f>
        <v/>
      </c>
      <c r="V17" s="5">
        <f>V16*(Assumptions!$G$33+Assumptions!$K$33)+V15*Assumptions!$I$33</f>
        <v/>
      </c>
      <c r="W17" s="5">
        <f>W16*(Assumptions!$G$33+Assumptions!$K$33)+W15*Assumptions!$I$33</f>
        <v/>
      </c>
      <c r="X17" s="5">
        <f>X16*(Assumptions!$G$33+Assumptions!$K$33)+X15*Assumptions!$I$33</f>
        <v/>
      </c>
      <c r="Y17" s="5">
        <f>Y16*(Assumptions!$G$33+Assumptions!$K$33)+Y15*Assumptions!$I$33</f>
        <v/>
      </c>
      <c r="Z17" s="5">
        <f>Z16*(Assumptions!$G$33+Assumptions!$K$33)+Z15*Assumptions!$I$33</f>
        <v/>
      </c>
      <c r="AA17" s="5">
        <f>AA16*(Assumptions!$G$33+Assumptions!$K$33)+AA15*Assumptions!$I$33</f>
        <v/>
      </c>
    </row>
    <row r="18">
      <c r="A18" t="inlineStr">
        <is>
          <t>Direct cost</t>
        </is>
      </c>
      <c r="C18" s="5" t="n">
        <v>0</v>
      </c>
      <c r="D18" s="5">
        <f>D16*(Assumptions!$H$33+Assumptions!$L$33)+D15*Assumptions!$J$33</f>
        <v/>
      </c>
      <c r="E18" s="5">
        <f>E16*(Assumptions!$H$33+Assumptions!$L$33)+E15*Assumptions!$J$33</f>
        <v/>
      </c>
      <c r="F18" s="5">
        <f>F16*(Assumptions!$H$33+Assumptions!$L$33)+F15*Assumptions!$J$33</f>
        <v/>
      </c>
      <c r="G18" s="5">
        <f>G16*(Assumptions!$H$33+Assumptions!$L$33)+G15*Assumptions!$J$33</f>
        <v/>
      </c>
      <c r="H18" s="5">
        <f>H16*(Assumptions!$H$33+Assumptions!$L$33)+H15*Assumptions!$J$33</f>
        <v/>
      </c>
      <c r="I18" s="5">
        <f>I16*(Assumptions!$H$33+Assumptions!$L$33)+I15*Assumptions!$J$33</f>
        <v/>
      </c>
      <c r="J18" s="5">
        <f>J16*(Assumptions!$H$33+Assumptions!$L$33)+J15*Assumptions!$J$33</f>
        <v/>
      </c>
      <c r="K18" s="5">
        <f>K16*(Assumptions!$H$33+Assumptions!$L$33)+K15*Assumptions!$J$33</f>
        <v/>
      </c>
      <c r="L18" s="5">
        <f>L16*(Assumptions!$H$33+Assumptions!$L$33)+L15*Assumptions!$J$33</f>
        <v/>
      </c>
      <c r="M18" s="5">
        <f>M16*(Assumptions!$H$33+Assumptions!$L$33)+M15*Assumptions!$J$33</f>
        <v/>
      </c>
      <c r="N18" s="5">
        <f>N16*(Assumptions!$H$33+Assumptions!$L$33)+N15*Assumptions!$J$33</f>
        <v/>
      </c>
      <c r="O18" s="5">
        <f>O16*(Assumptions!$H$33+Assumptions!$L$33)+O15*Assumptions!$J$33</f>
        <v/>
      </c>
      <c r="P18" s="5">
        <f>P16*(Assumptions!$H$33+Assumptions!$L$33)+P15*Assumptions!$J$33</f>
        <v/>
      </c>
      <c r="Q18" s="5">
        <f>Q16*(Assumptions!$H$33+Assumptions!$L$33)+Q15*Assumptions!$J$33</f>
        <v/>
      </c>
      <c r="R18" s="5">
        <f>R16*(Assumptions!$H$33+Assumptions!$L$33)+R15*Assumptions!$J$33</f>
        <v/>
      </c>
      <c r="S18" s="5">
        <f>S16*(Assumptions!$H$33+Assumptions!$L$33)+S15*Assumptions!$J$33</f>
        <v/>
      </c>
      <c r="T18" s="5">
        <f>T16*(Assumptions!$H$33+Assumptions!$L$33)+T15*Assumptions!$J$33</f>
        <v/>
      </c>
      <c r="U18" s="5">
        <f>U16*(Assumptions!$H$33+Assumptions!$L$33)+U15*Assumptions!$J$33</f>
        <v/>
      </c>
      <c r="V18" s="5">
        <f>V16*(Assumptions!$H$33+Assumptions!$L$33)+V15*Assumptions!$J$33</f>
        <v/>
      </c>
      <c r="W18" s="5">
        <f>W16*(Assumptions!$H$33+Assumptions!$L$33)+W15*Assumptions!$J$33</f>
        <v/>
      </c>
      <c r="X18" s="5">
        <f>X16*(Assumptions!$H$33+Assumptions!$L$33)+X15*Assumptions!$J$33</f>
        <v/>
      </c>
      <c r="Y18" s="5">
        <f>Y16*(Assumptions!$H$33+Assumptions!$L$33)+Y15*Assumptions!$J$33</f>
        <v/>
      </c>
      <c r="Z18" s="5">
        <f>Z16*(Assumptions!$H$33+Assumptions!$L$33)+Z15*Assumptions!$J$33</f>
        <v/>
      </c>
      <c r="AA18" s="5">
        <f>AA16*(Assumptions!$H$33+Assumptions!$L$33)+AA15*Assumptions!$J$33</f>
        <v/>
      </c>
    </row>
    <row r="19"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1">
        <f>Assumptions!B34&amp;" / "&amp;Assumptions!C34&amp;" / "&amp;Assumptions!D34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t="inlineStr">
        <is>
          <t>Units installed (cum.)</t>
        </is>
      </c>
      <c r="C21" s="5" t="n">
        <v>0</v>
      </c>
      <c r="D21" s="5">
        <f>IF(D$3&gt;=Assumptions!$M$34,D$4*Assumptions!$E$34*Assumptions!$F$34,0)</f>
        <v/>
      </c>
      <c r="E21" s="5">
        <f>IF(E$3&gt;=Assumptions!$M$34,E$4*Assumptions!$E$34*Assumptions!$F$34,0)</f>
        <v/>
      </c>
      <c r="F21" s="5">
        <f>IF(F$3&gt;=Assumptions!$M$34,F$4*Assumptions!$E$34*Assumptions!$F$34,0)</f>
        <v/>
      </c>
      <c r="G21" s="5">
        <f>IF(G$3&gt;=Assumptions!$M$34,G$4*Assumptions!$E$34*Assumptions!$F$34,0)</f>
        <v/>
      </c>
      <c r="H21" s="5">
        <f>IF(H$3&gt;=Assumptions!$M$34,H$4*Assumptions!$E$34*Assumptions!$F$34,0)</f>
        <v/>
      </c>
      <c r="I21" s="5">
        <f>IF(I$3&gt;=Assumptions!$M$34,I$4*Assumptions!$E$34*Assumptions!$F$34,0)</f>
        <v/>
      </c>
      <c r="J21" s="5">
        <f>IF(J$3&gt;=Assumptions!$M$34,J$4*Assumptions!$E$34*Assumptions!$F$34,0)</f>
        <v/>
      </c>
      <c r="K21" s="5">
        <f>IF(K$3&gt;=Assumptions!$M$34,K$4*Assumptions!$E$34*Assumptions!$F$34,0)</f>
        <v/>
      </c>
      <c r="L21" s="5">
        <f>IF(L$3&gt;=Assumptions!$M$34,L$4*Assumptions!$E$34*Assumptions!$F$34,0)</f>
        <v/>
      </c>
      <c r="M21" s="5">
        <f>IF(M$3&gt;=Assumptions!$M$34,M$4*Assumptions!$E$34*Assumptions!$F$34,0)</f>
        <v/>
      </c>
      <c r="N21" s="5">
        <f>IF(N$3&gt;=Assumptions!$M$34,N$4*Assumptions!$E$34*Assumptions!$F$34,0)</f>
        <v/>
      </c>
      <c r="O21" s="5">
        <f>IF(O$3&gt;=Assumptions!$M$34,O$4*Assumptions!$E$34*Assumptions!$F$34,0)</f>
        <v/>
      </c>
      <c r="P21" s="5">
        <f>IF(P$3&gt;=Assumptions!$M$34,P$4*Assumptions!$E$34*Assumptions!$F$34,0)</f>
        <v/>
      </c>
      <c r="Q21" s="5">
        <f>IF(Q$3&gt;=Assumptions!$M$34,Q$4*Assumptions!$E$34*Assumptions!$F$34,0)</f>
        <v/>
      </c>
      <c r="R21" s="5">
        <f>IF(R$3&gt;=Assumptions!$M$34,R$4*Assumptions!$E$34*Assumptions!$F$34,0)</f>
        <v/>
      </c>
      <c r="S21" s="5">
        <f>IF(S$3&gt;=Assumptions!$M$34,S$4*Assumptions!$E$34*Assumptions!$F$34,0)</f>
        <v/>
      </c>
      <c r="T21" s="5">
        <f>IF(T$3&gt;=Assumptions!$M$34,T$4*Assumptions!$E$34*Assumptions!$F$34,0)</f>
        <v/>
      </c>
      <c r="U21" s="5">
        <f>IF(U$3&gt;=Assumptions!$M$34,U$4*Assumptions!$E$34*Assumptions!$F$34,0)</f>
        <v/>
      </c>
      <c r="V21" s="5">
        <f>IF(V$3&gt;=Assumptions!$M$34,V$4*Assumptions!$E$34*Assumptions!$F$34,0)</f>
        <v/>
      </c>
      <c r="W21" s="5">
        <f>IF(W$3&gt;=Assumptions!$M$34,W$4*Assumptions!$E$34*Assumptions!$F$34,0)</f>
        <v/>
      </c>
      <c r="X21" s="5">
        <f>IF(X$3&gt;=Assumptions!$M$34,X$4*Assumptions!$E$34*Assumptions!$F$34,0)</f>
        <v/>
      </c>
      <c r="Y21" s="5">
        <f>IF(Y$3&gt;=Assumptions!$M$34,Y$4*Assumptions!$E$34*Assumptions!$F$34,0)</f>
        <v/>
      </c>
      <c r="Z21" s="5">
        <f>IF(Z$3&gt;=Assumptions!$M$34,Z$4*Assumptions!$E$34*Assumptions!$F$34,0)</f>
        <v/>
      </c>
      <c r="AA21" s="5">
        <f>IF(AA$3&gt;=Assumptions!$M$34,AA$4*Assumptions!$E$34*Assumptions!$F$34,0)</f>
        <v/>
      </c>
    </row>
    <row r="22">
      <c r="A22" t="inlineStr">
        <is>
          <t>New units</t>
        </is>
      </c>
      <c r="C22" s="5" t="n">
        <v>0</v>
      </c>
      <c r="D22" s="5">
        <f>D21-C21</f>
        <v/>
      </c>
      <c r="E22" s="5">
        <f>E21-D21</f>
        <v/>
      </c>
      <c r="F22" s="5">
        <f>F21-E21</f>
        <v/>
      </c>
      <c r="G22" s="5">
        <f>G21-F21</f>
        <v/>
      </c>
      <c r="H22" s="5">
        <f>H21-G21</f>
        <v/>
      </c>
      <c r="I22" s="5">
        <f>I21-H21</f>
        <v/>
      </c>
      <c r="J22" s="5">
        <f>J21-I21</f>
        <v/>
      </c>
      <c r="K22" s="5">
        <f>K21-J21</f>
        <v/>
      </c>
      <c r="L22" s="5">
        <f>L21-K21</f>
        <v/>
      </c>
      <c r="M22" s="5">
        <f>M21-L21</f>
        <v/>
      </c>
      <c r="N22" s="5">
        <f>N21-M21</f>
        <v/>
      </c>
      <c r="O22" s="5">
        <f>O21-N21</f>
        <v/>
      </c>
      <c r="P22" s="5">
        <f>P21-O21</f>
        <v/>
      </c>
      <c r="Q22" s="5">
        <f>Q21-P21</f>
        <v/>
      </c>
      <c r="R22" s="5">
        <f>R21-Q21</f>
        <v/>
      </c>
      <c r="S22" s="5">
        <f>S21-R21</f>
        <v/>
      </c>
      <c r="T22" s="5">
        <f>T21-S21</f>
        <v/>
      </c>
      <c r="U22" s="5">
        <f>U21-T21</f>
        <v/>
      </c>
      <c r="V22" s="5">
        <f>V21-U21</f>
        <v/>
      </c>
      <c r="W22" s="5">
        <f>W21-V21</f>
        <v/>
      </c>
      <c r="X22" s="5">
        <f>X21-W21</f>
        <v/>
      </c>
      <c r="Y22" s="5">
        <f>Y21-X21</f>
        <v/>
      </c>
      <c r="Z22" s="5">
        <f>Z21-Y21</f>
        <v/>
      </c>
      <c r="AA22" s="5">
        <f>AA21-Z21</f>
        <v/>
      </c>
    </row>
    <row r="23">
      <c r="A23" t="inlineStr">
        <is>
          <t>Revenue</t>
        </is>
      </c>
      <c r="C23" s="5" t="n">
        <v>0</v>
      </c>
      <c r="D23" s="5">
        <f>D22*(Assumptions!$G$34+Assumptions!$K$34)+D21*Assumptions!$I$34</f>
        <v/>
      </c>
      <c r="E23" s="5">
        <f>E22*(Assumptions!$G$34+Assumptions!$K$34)+E21*Assumptions!$I$34</f>
        <v/>
      </c>
      <c r="F23" s="5">
        <f>F22*(Assumptions!$G$34+Assumptions!$K$34)+F21*Assumptions!$I$34</f>
        <v/>
      </c>
      <c r="G23" s="5">
        <f>G22*(Assumptions!$G$34+Assumptions!$K$34)+G21*Assumptions!$I$34</f>
        <v/>
      </c>
      <c r="H23" s="5">
        <f>H22*(Assumptions!$G$34+Assumptions!$K$34)+H21*Assumptions!$I$34</f>
        <v/>
      </c>
      <c r="I23" s="5">
        <f>I22*(Assumptions!$G$34+Assumptions!$K$34)+I21*Assumptions!$I$34</f>
        <v/>
      </c>
      <c r="J23" s="5">
        <f>J22*(Assumptions!$G$34+Assumptions!$K$34)+J21*Assumptions!$I$34</f>
        <v/>
      </c>
      <c r="K23" s="5">
        <f>K22*(Assumptions!$G$34+Assumptions!$K$34)+K21*Assumptions!$I$34</f>
        <v/>
      </c>
      <c r="L23" s="5">
        <f>L22*(Assumptions!$G$34+Assumptions!$K$34)+L21*Assumptions!$I$34</f>
        <v/>
      </c>
      <c r="M23" s="5">
        <f>M22*(Assumptions!$G$34+Assumptions!$K$34)+M21*Assumptions!$I$34</f>
        <v/>
      </c>
      <c r="N23" s="5">
        <f>N22*(Assumptions!$G$34+Assumptions!$K$34)+N21*Assumptions!$I$34</f>
        <v/>
      </c>
      <c r="O23" s="5">
        <f>O22*(Assumptions!$G$34+Assumptions!$K$34)+O21*Assumptions!$I$34</f>
        <v/>
      </c>
      <c r="P23" s="5">
        <f>P22*(Assumptions!$G$34+Assumptions!$K$34)+P21*Assumptions!$I$34</f>
        <v/>
      </c>
      <c r="Q23" s="5">
        <f>Q22*(Assumptions!$G$34+Assumptions!$K$34)+Q21*Assumptions!$I$34</f>
        <v/>
      </c>
      <c r="R23" s="5">
        <f>R22*(Assumptions!$G$34+Assumptions!$K$34)+R21*Assumptions!$I$34</f>
        <v/>
      </c>
      <c r="S23" s="5">
        <f>S22*(Assumptions!$G$34+Assumptions!$K$34)+S21*Assumptions!$I$34</f>
        <v/>
      </c>
      <c r="T23" s="5">
        <f>T22*(Assumptions!$G$34+Assumptions!$K$34)+T21*Assumptions!$I$34</f>
        <v/>
      </c>
      <c r="U23" s="5">
        <f>U22*(Assumptions!$G$34+Assumptions!$K$34)+U21*Assumptions!$I$34</f>
        <v/>
      </c>
      <c r="V23" s="5">
        <f>V22*(Assumptions!$G$34+Assumptions!$K$34)+V21*Assumptions!$I$34</f>
        <v/>
      </c>
      <c r="W23" s="5">
        <f>W22*(Assumptions!$G$34+Assumptions!$K$34)+W21*Assumptions!$I$34</f>
        <v/>
      </c>
      <c r="X23" s="5">
        <f>X22*(Assumptions!$G$34+Assumptions!$K$34)+X21*Assumptions!$I$34</f>
        <v/>
      </c>
      <c r="Y23" s="5">
        <f>Y22*(Assumptions!$G$34+Assumptions!$K$34)+Y21*Assumptions!$I$34</f>
        <v/>
      </c>
      <c r="Z23" s="5">
        <f>Z22*(Assumptions!$G$34+Assumptions!$K$34)+Z21*Assumptions!$I$34</f>
        <v/>
      </c>
      <c r="AA23" s="5">
        <f>AA22*(Assumptions!$G$34+Assumptions!$K$34)+AA21*Assumptions!$I$34</f>
        <v/>
      </c>
    </row>
    <row r="24">
      <c r="A24" t="inlineStr">
        <is>
          <t>Direct cost</t>
        </is>
      </c>
      <c r="C24" s="5" t="n">
        <v>0</v>
      </c>
      <c r="D24" s="5">
        <f>D22*(Assumptions!$H$34+Assumptions!$L$34)+D21*Assumptions!$J$34</f>
        <v/>
      </c>
      <c r="E24" s="5">
        <f>E22*(Assumptions!$H$34+Assumptions!$L$34)+E21*Assumptions!$J$34</f>
        <v/>
      </c>
      <c r="F24" s="5">
        <f>F22*(Assumptions!$H$34+Assumptions!$L$34)+F21*Assumptions!$J$34</f>
        <v/>
      </c>
      <c r="G24" s="5">
        <f>G22*(Assumptions!$H$34+Assumptions!$L$34)+G21*Assumptions!$J$34</f>
        <v/>
      </c>
      <c r="H24" s="5">
        <f>H22*(Assumptions!$H$34+Assumptions!$L$34)+H21*Assumptions!$J$34</f>
        <v/>
      </c>
      <c r="I24" s="5">
        <f>I22*(Assumptions!$H$34+Assumptions!$L$34)+I21*Assumptions!$J$34</f>
        <v/>
      </c>
      <c r="J24" s="5">
        <f>J22*(Assumptions!$H$34+Assumptions!$L$34)+J21*Assumptions!$J$34</f>
        <v/>
      </c>
      <c r="K24" s="5">
        <f>K22*(Assumptions!$H$34+Assumptions!$L$34)+K21*Assumptions!$J$34</f>
        <v/>
      </c>
      <c r="L24" s="5">
        <f>L22*(Assumptions!$H$34+Assumptions!$L$34)+L21*Assumptions!$J$34</f>
        <v/>
      </c>
      <c r="M24" s="5">
        <f>M22*(Assumptions!$H$34+Assumptions!$L$34)+M21*Assumptions!$J$34</f>
        <v/>
      </c>
      <c r="N24" s="5">
        <f>N22*(Assumptions!$H$34+Assumptions!$L$34)+N21*Assumptions!$J$34</f>
        <v/>
      </c>
      <c r="O24" s="5">
        <f>O22*(Assumptions!$H$34+Assumptions!$L$34)+O21*Assumptions!$J$34</f>
        <v/>
      </c>
      <c r="P24" s="5">
        <f>P22*(Assumptions!$H$34+Assumptions!$L$34)+P21*Assumptions!$J$34</f>
        <v/>
      </c>
      <c r="Q24" s="5">
        <f>Q22*(Assumptions!$H$34+Assumptions!$L$34)+Q21*Assumptions!$J$34</f>
        <v/>
      </c>
      <c r="R24" s="5">
        <f>R22*(Assumptions!$H$34+Assumptions!$L$34)+R21*Assumptions!$J$34</f>
        <v/>
      </c>
      <c r="S24" s="5">
        <f>S22*(Assumptions!$H$34+Assumptions!$L$34)+S21*Assumptions!$J$34</f>
        <v/>
      </c>
      <c r="T24" s="5">
        <f>T22*(Assumptions!$H$34+Assumptions!$L$34)+T21*Assumptions!$J$34</f>
        <v/>
      </c>
      <c r="U24" s="5">
        <f>U22*(Assumptions!$H$34+Assumptions!$L$34)+U21*Assumptions!$J$34</f>
        <v/>
      </c>
      <c r="V24" s="5">
        <f>V22*(Assumptions!$H$34+Assumptions!$L$34)+V21*Assumptions!$J$34</f>
        <v/>
      </c>
      <c r="W24" s="5">
        <f>W22*(Assumptions!$H$34+Assumptions!$L$34)+W21*Assumptions!$J$34</f>
        <v/>
      </c>
      <c r="X24" s="5">
        <f>X22*(Assumptions!$H$34+Assumptions!$L$34)+X21*Assumptions!$J$34</f>
        <v/>
      </c>
      <c r="Y24" s="5">
        <f>Y22*(Assumptions!$H$34+Assumptions!$L$34)+Y21*Assumptions!$J$34</f>
        <v/>
      </c>
      <c r="Z24" s="5">
        <f>Z22*(Assumptions!$H$34+Assumptions!$L$34)+Z21*Assumptions!$J$34</f>
        <v/>
      </c>
      <c r="AA24" s="5">
        <f>AA22*(Assumptions!$H$34+Assumptions!$L$34)+AA21*Assumptions!$J$34</f>
        <v/>
      </c>
    </row>
    <row r="25"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1">
        <f>Assumptions!B35&amp;" / "&amp;Assumptions!C35&amp;" / "&amp;Assumptions!D35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t="inlineStr">
        <is>
          <t>Units installed (cum.)</t>
        </is>
      </c>
      <c r="C27" s="5" t="n">
        <v>0</v>
      </c>
      <c r="D27" s="5">
        <f>IF(D$3&gt;=Assumptions!$M$35,D$4*Assumptions!$E$35*Assumptions!$F$35,0)</f>
        <v/>
      </c>
      <c r="E27" s="5">
        <f>IF(E$3&gt;=Assumptions!$M$35,E$4*Assumptions!$E$35*Assumptions!$F$35,0)</f>
        <v/>
      </c>
      <c r="F27" s="5">
        <f>IF(F$3&gt;=Assumptions!$M$35,F$4*Assumptions!$E$35*Assumptions!$F$35,0)</f>
        <v/>
      </c>
      <c r="G27" s="5">
        <f>IF(G$3&gt;=Assumptions!$M$35,G$4*Assumptions!$E$35*Assumptions!$F$35,0)</f>
        <v/>
      </c>
      <c r="H27" s="5">
        <f>IF(H$3&gt;=Assumptions!$M$35,H$4*Assumptions!$E$35*Assumptions!$F$35,0)</f>
        <v/>
      </c>
      <c r="I27" s="5">
        <f>IF(I$3&gt;=Assumptions!$M$35,I$4*Assumptions!$E$35*Assumptions!$F$35,0)</f>
        <v/>
      </c>
      <c r="J27" s="5">
        <f>IF(J$3&gt;=Assumptions!$M$35,J$4*Assumptions!$E$35*Assumptions!$F$35,0)</f>
        <v/>
      </c>
      <c r="K27" s="5">
        <f>IF(K$3&gt;=Assumptions!$M$35,K$4*Assumptions!$E$35*Assumptions!$F$35,0)</f>
        <v/>
      </c>
      <c r="L27" s="5">
        <f>IF(L$3&gt;=Assumptions!$M$35,L$4*Assumptions!$E$35*Assumptions!$F$35,0)</f>
        <v/>
      </c>
      <c r="M27" s="5">
        <f>IF(M$3&gt;=Assumptions!$M$35,M$4*Assumptions!$E$35*Assumptions!$F$35,0)</f>
        <v/>
      </c>
      <c r="N27" s="5">
        <f>IF(N$3&gt;=Assumptions!$M$35,N$4*Assumptions!$E$35*Assumptions!$F$35,0)</f>
        <v/>
      </c>
      <c r="O27" s="5">
        <f>IF(O$3&gt;=Assumptions!$M$35,O$4*Assumptions!$E$35*Assumptions!$F$35,0)</f>
        <v/>
      </c>
      <c r="P27" s="5">
        <f>IF(P$3&gt;=Assumptions!$M$35,P$4*Assumptions!$E$35*Assumptions!$F$35,0)</f>
        <v/>
      </c>
      <c r="Q27" s="5">
        <f>IF(Q$3&gt;=Assumptions!$M$35,Q$4*Assumptions!$E$35*Assumptions!$F$35,0)</f>
        <v/>
      </c>
      <c r="R27" s="5">
        <f>IF(R$3&gt;=Assumptions!$M$35,R$4*Assumptions!$E$35*Assumptions!$F$35,0)</f>
        <v/>
      </c>
      <c r="S27" s="5">
        <f>IF(S$3&gt;=Assumptions!$M$35,S$4*Assumptions!$E$35*Assumptions!$F$35,0)</f>
        <v/>
      </c>
      <c r="T27" s="5">
        <f>IF(T$3&gt;=Assumptions!$M$35,T$4*Assumptions!$E$35*Assumptions!$F$35,0)</f>
        <v/>
      </c>
      <c r="U27" s="5">
        <f>IF(U$3&gt;=Assumptions!$M$35,U$4*Assumptions!$E$35*Assumptions!$F$35,0)</f>
        <v/>
      </c>
      <c r="V27" s="5">
        <f>IF(V$3&gt;=Assumptions!$M$35,V$4*Assumptions!$E$35*Assumptions!$F$35,0)</f>
        <v/>
      </c>
      <c r="W27" s="5">
        <f>IF(W$3&gt;=Assumptions!$M$35,W$4*Assumptions!$E$35*Assumptions!$F$35,0)</f>
        <v/>
      </c>
      <c r="X27" s="5">
        <f>IF(X$3&gt;=Assumptions!$M$35,X$4*Assumptions!$E$35*Assumptions!$F$35,0)</f>
        <v/>
      </c>
      <c r="Y27" s="5">
        <f>IF(Y$3&gt;=Assumptions!$M$35,Y$4*Assumptions!$E$35*Assumptions!$F$35,0)</f>
        <v/>
      </c>
      <c r="Z27" s="5">
        <f>IF(Z$3&gt;=Assumptions!$M$35,Z$4*Assumptions!$E$35*Assumptions!$F$35,0)</f>
        <v/>
      </c>
      <c r="AA27" s="5">
        <f>IF(AA$3&gt;=Assumptions!$M$35,AA$4*Assumptions!$E$35*Assumptions!$F$35,0)</f>
        <v/>
      </c>
    </row>
    <row r="28">
      <c r="A28" t="inlineStr">
        <is>
          <t>New units</t>
        </is>
      </c>
      <c r="C28" s="5" t="n">
        <v>0</v>
      </c>
      <c r="D28" s="5">
        <f>D27-C27</f>
        <v/>
      </c>
      <c r="E28" s="5">
        <f>E27-D27</f>
        <v/>
      </c>
      <c r="F28" s="5">
        <f>F27-E27</f>
        <v/>
      </c>
      <c r="G28" s="5">
        <f>G27-F27</f>
        <v/>
      </c>
      <c r="H28" s="5">
        <f>H27-G27</f>
        <v/>
      </c>
      <c r="I28" s="5">
        <f>I27-H27</f>
        <v/>
      </c>
      <c r="J28" s="5">
        <f>J27-I27</f>
        <v/>
      </c>
      <c r="K28" s="5">
        <f>K27-J27</f>
        <v/>
      </c>
      <c r="L28" s="5">
        <f>L27-K27</f>
        <v/>
      </c>
      <c r="M28" s="5">
        <f>M27-L27</f>
        <v/>
      </c>
      <c r="N28" s="5">
        <f>N27-M27</f>
        <v/>
      </c>
      <c r="O28" s="5">
        <f>O27-N27</f>
        <v/>
      </c>
      <c r="P28" s="5">
        <f>P27-O27</f>
        <v/>
      </c>
      <c r="Q28" s="5">
        <f>Q27-P27</f>
        <v/>
      </c>
      <c r="R28" s="5">
        <f>R27-Q27</f>
        <v/>
      </c>
      <c r="S28" s="5">
        <f>S27-R27</f>
        <v/>
      </c>
      <c r="T28" s="5">
        <f>T27-S27</f>
        <v/>
      </c>
      <c r="U28" s="5">
        <f>U27-T27</f>
        <v/>
      </c>
      <c r="V28" s="5">
        <f>V27-U27</f>
        <v/>
      </c>
      <c r="W28" s="5">
        <f>W27-V27</f>
        <v/>
      </c>
      <c r="X28" s="5">
        <f>X27-W27</f>
        <v/>
      </c>
      <c r="Y28" s="5">
        <f>Y27-X27</f>
        <v/>
      </c>
      <c r="Z28" s="5">
        <f>Z27-Y27</f>
        <v/>
      </c>
      <c r="AA28" s="5">
        <f>AA27-Z27</f>
        <v/>
      </c>
    </row>
    <row r="29">
      <c r="A29" t="inlineStr">
        <is>
          <t>Revenue</t>
        </is>
      </c>
      <c r="C29" s="5" t="n">
        <v>0</v>
      </c>
      <c r="D29" s="5">
        <f>D28*(Assumptions!$G$35+Assumptions!$K$35)+D27*Assumptions!$I$35</f>
        <v/>
      </c>
      <c r="E29" s="5">
        <f>E28*(Assumptions!$G$35+Assumptions!$K$35)+E27*Assumptions!$I$35</f>
        <v/>
      </c>
      <c r="F29" s="5">
        <f>F28*(Assumptions!$G$35+Assumptions!$K$35)+F27*Assumptions!$I$35</f>
        <v/>
      </c>
      <c r="G29" s="5">
        <f>G28*(Assumptions!$G$35+Assumptions!$K$35)+G27*Assumptions!$I$35</f>
        <v/>
      </c>
      <c r="H29" s="5">
        <f>H28*(Assumptions!$G$35+Assumptions!$K$35)+H27*Assumptions!$I$35</f>
        <v/>
      </c>
      <c r="I29" s="5">
        <f>I28*(Assumptions!$G$35+Assumptions!$K$35)+I27*Assumptions!$I$35</f>
        <v/>
      </c>
      <c r="J29" s="5">
        <f>J28*(Assumptions!$G$35+Assumptions!$K$35)+J27*Assumptions!$I$35</f>
        <v/>
      </c>
      <c r="K29" s="5">
        <f>K28*(Assumptions!$G$35+Assumptions!$K$35)+K27*Assumptions!$I$35</f>
        <v/>
      </c>
      <c r="L29" s="5">
        <f>L28*(Assumptions!$G$35+Assumptions!$K$35)+L27*Assumptions!$I$35</f>
        <v/>
      </c>
      <c r="M29" s="5">
        <f>M28*(Assumptions!$G$35+Assumptions!$K$35)+M27*Assumptions!$I$35</f>
        <v/>
      </c>
      <c r="N29" s="5">
        <f>N28*(Assumptions!$G$35+Assumptions!$K$35)+N27*Assumptions!$I$35</f>
        <v/>
      </c>
      <c r="O29" s="5">
        <f>O28*(Assumptions!$G$35+Assumptions!$K$35)+O27*Assumptions!$I$35</f>
        <v/>
      </c>
      <c r="P29" s="5">
        <f>P28*(Assumptions!$G$35+Assumptions!$K$35)+P27*Assumptions!$I$35</f>
        <v/>
      </c>
      <c r="Q29" s="5">
        <f>Q28*(Assumptions!$G$35+Assumptions!$K$35)+Q27*Assumptions!$I$35</f>
        <v/>
      </c>
      <c r="R29" s="5">
        <f>R28*(Assumptions!$G$35+Assumptions!$K$35)+R27*Assumptions!$I$35</f>
        <v/>
      </c>
      <c r="S29" s="5">
        <f>S28*(Assumptions!$G$35+Assumptions!$K$35)+S27*Assumptions!$I$35</f>
        <v/>
      </c>
      <c r="T29" s="5">
        <f>T28*(Assumptions!$G$35+Assumptions!$K$35)+T27*Assumptions!$I$35</f>
        <v/>
      </c>
      <c r="U29" s="5">
        <f>U28*(Assumptions!$G$35+Assumptions!$K$35)+U27*Assumptions!$I$35</f>
        <v/>
      </c>
      <c r="V29" s="5">
        <f>V28*(Assumptions!$G$35+Assumptions!$K$35)+V27*Assumptions!$I$35</f>
        <v/>
      </c>
      <c r="W29" s="5">
        <f>W28*(Assumptions!$G$35+Assumptions!$K$35)+W27*Assumptions!$I$35</f>
        <v/>
      </c>
      <c r="X29" s="5">
        <f>X28*(Assumptions!$G$35+Assumptions!$K$35)+X27*Assumptions!$I$35</f>
        <v/>
      </c>
      <c r="Y29" s="5">
        <f>Y28*(Assumptions!$G$35+Assumptions!$K$35)+Y27*Assumptions!$I$35</f>
        <v/>
      </c>
      <c r="Z29" s="5">
        <f>Z28*(Assumptions!$G$35+Assumptions!$K$35)+Z27*Assumptions!$I$35</f>
        <v/>
      </c>
      <c r="AA29" s="5">
        <f>AA28*(Assumptions!$G$35+Assumptions!$K$35)+AA27*Assumptions!$I$35</f>
        <v/>
      </c>
    </row>
    <row r="30">
      <c r="A30" t="inlineStr">
        <is>
          <t>Direct cost</t>
        </is>
      </c>
      <c r="C30" s="5" t="n">
        <v>0</v>
      </c>
      <c r="D30" s="5">
        <f>D28*(Assumptions!$H$35+Assumptions!$L$35)+D27*Assumptions!$J$35</f>
        <v/>
      </c>
      <c r="E30" s="5">
        <f>E28*(Assumptions!$H$35+Assumptions!$L$35)+E27*Assumptions!$J$35</f>
        <v/>
      </c>
      <c r="F30" s="5">
        <f>F28*(Assumptions!$H$35+Assumptions!$L$35)+F27*Assumptions!$J$35</f>
        <v/>
      </c>
      <c r="G30" s="5">
        <f>G28*(Assumptions!$H$35+Assumptions!$L$35)+G27*Assumptions!$J$35</f>
        <v/>
      </c>
      <c r="H30" s="5">
        <f>H28*(Assumptions!$H$35+Assumptions!$L$35)+H27*Assumptions!$J$35</f>
        <v/>
      </c>
      <c r="I30" s="5">
        <f>I28*(Assumptions!$H$35+Assumptions!$L$35)+I27*Assumptions!$J$35</f>
        <v/>
      </c>
      <c r="J30" s="5">
        <f>J28*(Assumptions!$H$35+Assumptions!$L$35)+J27*Assumptions!$J$35</f>
        <v/>
      </c>
      <c r="K30" s="5">
        <f>K28*(Assumptions!$H$35+Assumptions!$L$35)+K27*Assumptions!$J$35</f>
        <v/>
      </c>
      <c r="L30" s="5">
        <f>L28*(Assumptions!$H$35+Assumptions!$L$35)+L27*Assumptions!$J$35</f>
        <v/>
      </c>
      <c r="M30" s="5">
        <f>M28*(Assumptions!$H$35+Assumptions!$L$35)+M27*Assumptions!$J$35</f>
        <v/>
      </c>
      <c r="N30" s="5">
        <f>N28*(Assumptions!$H$35+Assumptions!$L$35)+N27*Assumptions!$J$35</f>
        <v/>
      </c>
      <c r="O30" s="5">
        <f>O28*(Assumptions!$H$35+Assumptions!$L$35)+O27*Assumptions!$J$35</f>
        <v/>
      </c>
      <c r="P30" s="5">
        <f>P28*(Assumptions!$H$35+Assumptions!$L$35)+P27*Assumptions!$J$35</f>
        <v/>
      </c>
      <c r="Q30" s="5">
        <f>Q28*(Assumptions!$H$35+Assumptions!$L$35)+Q27*Assumptions!$J$35</f>
        <v/>
      </c>
      <c r="R30" s="5">
        <f>R28*(Assumptions!$H$35+Assumptions!$L$35)+R27*Assumptions!$J$35</f>
        <v/>
      </c>
      <c r="S30" s="5">
        <f>S28*(Assumptions!$H$35+Assumptions!$L$35)+S27*Assumptions!$J$35</f>
        <v/>
      </c>
      <c r="T30" s="5">
        <f>T28*(Assumptions!$H$35+Assumptions!$L$35)+T27*Assumptions!$J$35</f>
        <v/>
      </c>
      <c r="U30" s="5">
        <f>U28*(Assumptions!$H$35+Assumptions!$L$35)+U27*Assumptions!$J$35</f>
        <v/>
      </c>
      <c r="V30" s="5">
        <f>V28*(Assumptions!$H$35+Assumptions!$L$35)+V27*Assumptions!$J$35</f>
        <v/>
      </c>
      <c r="W30" s="5">
        <f>W28*(Assumptions!$H$35+Assumptions!$L$35)+W27*Assumptions!$J$35</f>
        <v/>
      </c>
      <c r="X30" s="5">
        <f>X28*(Assumptions!$H$35+Assumptions!$L$35)+X27*Assumptions!$J$35</f>
        <v/>
      </c>
      <c r="Y30" s="5">
        <f>Y28*(Assumptions!$H$35+Assumptions!$L$35)+Y27*Assumptions!$J$35</f>
        <v/>
      </c>
      <c r="Z30" s="5">
        <f>Z28*(Assumptions!$H$35+Assumptions!$L$35)+Z27*Assumptions!$J$35</f>
        <v/>
      </c>
      <c r="AA30" s="5">
        <f>AA28*(Assumptions!$H$35+Assumptions!$L$35)+AA27*Assumptions!$J$35</f>
        <v/>
      </c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1">
        <f>Assumptions!B36&amp;" / "&amp;Assumptions!C36&amp;" / "&amp;Assumptions!D36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t="inlineStr">
        <is>
          <t>Units installed (cum.)</t>
        </is>
      </c>
      <c r="C33" s="5" t="n">
        <v>0</v>
      </c>
      <c r="D33" s="5">
        <f>IF(D$3&gt;=Assumptions!$M$36,D$4*Assumptions!$E$36*Assumptions!$F$36,0)</f>
        <v/>
      </c>
      <c r="E33" s="5">
        <f>IF(E$3&gt;=Assumptions!$M$36,E$4*Assumptions!$E$36*Assumptions!$F$36,0)</f>
        <v/>
      </c>
      <c r="F33" s="5">
        <f>IF(F$3&gt;=Assumptions!$M$36,F$4*Assumptions!$E$36*Assumptions!$F$36,0)</f>
        <v/>
      </c>
      <c r="G33" s="5">
        <f>IF(G$3&gt;=Assumptions!$M$36,G$4*Assumptions!$E$36*Assumptions!$F$36,0)</f>
        <v/>
      </c>
      <c r="H33" s="5">
        <f>IF(H$3&gt;=Assumptions!$M$36,H$4*Assumptions!$E$36*Assumptions!$F$36,0)</f>
        <v/>
      </c>
      <c r="I33" s="5">
        <f>IF(I$3&gt;=Assumptions!$M$36,I$4*Assumptions!$E$36*Assumptions!$F$36,0)</f>
        <v/>
      </c>
      <c r="J33" s="5">
        <f>IF(J$3&gt;=Assumptions!$M$36,J$4*Assumptions!$E$36*Assumptions!$F$36,0)</f>
        <v/>
      </c>
      <c r="K33" s="5">
        <f>IF(K$3&gt;=Assumptions!$M$36,K$4*Assumptions!$E$36*Assumptions!$F$36,0)</f>
        <v/>
      </c>
      <c r="L33" s="5">
        <f>IF(L$3&gt;=Assumptions!$M$36,L$4*Assumptions!$E$36*Assumptions!$F$36,0)</f>
        <v/>
      </c>
      <c r="M33" s="5">
        <f>IF(M$3&gt;=Assumptions!$M$36,M$4*Assumptions!$E$36*Assumptions!$F$36,0)</f>
        <v/>
      </c>
      <c r="N33" s="5">
        <f>IF(N$3&gt;=Assumptions!$M$36,N$4*Assumptions!$E$36*Assumptions!$F$36,0)</f>
        <v/>
      </c>
      <c r="O33" s="5">
        <f>IF(O$3&gt;=Assumptions!$M$36,O$4*Assumptions!$E$36*Assumptions!$F$36,0)</f>
        <v/>
      </c>
      <c r="P33" s="5">
        <f>IF(P$3&gt;=Assumptions!$M$36,P$4*Assumptions!$E$36*Assumptions!$F$36,0)</f>
        <v/>
      </c>
      <c r="Q33" s="5">
        <f>IF(Q$3&gt;=Assumptions!$M$36,Q$4*Assumptions!$E$36*Assumptions!$F$36,0)</f>
        <v/>
      </c>
      <c r="R33" s="5">
        <f>IF(R$3&gt;=Assumptions!$M$36,R$4*Assumptions!$E$36*Assumptions!$F$36,0)</f>
        <v/>
      </c>
      <c r="S33" s="5">
        <f>IF(S$3&gt;=Assumptions!$M$36,S$4*Assumptions!$E$36*Assumptions!$F$36,0)</f>
        <v/>
      </c>
      <c r="T33" s="5">
        <f>IF(T$3&gt;=Assumptions!$M$36,T$4*Assumptions!$E$36*Assumptions!$F$36,0)</f>
        <v/>
      </c>
      <c r="U33" s="5">
        <f>IF(U$3&gt;=Assumptions!$M$36,U$4*Assumptions!$E$36*Assumptions!$F$36,0)</f>
        <v/>
      </c>
      <c r="V33" s="5">
        <f>IF(V$3&gt;=Assumptions!$M$36,V$4*Assumptions!$E$36*Assumptions!$F$36,0)</f>
        <v/>
      </c>
      <c r="W33" s="5">
        <f>IF(W$3&gt;=Assumptions!$M$36,W$4*Assumptions!$E$36*Assumptions!$F$36,0)</f>
        <v/>
      </c>
      <c r="X33" s="5">
        <f>IF(X$3&gt;=Assumptions!$M$36,X$4*Assumptions!$E$36*Assumptions!$F$36,0)</f>
        <v/>
      </c>
      <c r="Y33" s="5">
        <f>IF(Y$3&gt;=Assumptions!$M$36,Y$4*Assumptions!$E$36*Assumptions!$F$36,0)</f>
        <v/>
      </c>
      <c r="Z33" s="5">
        <f>IF(Z$3&gt;=Assumptions!$M$36,Z$4*Assumptions!$E$36*Assumptions!$F$36,0)</f>
        <v/>
      </c>
      <c r="AA33" s="5">
        <f>IF(AA$3&gt;=Assumptions!$M$36,AA$4*Assumptions!$E$36*Assumptions!$F$36,0)</f>
        <v/>
      </c>
    </row>
    <row r="34">
      <c r="A34" t="inlineStr">
        <is>
          <t>New units</t>
        </is>
      </c>
      <c r="C34" s="5" t="n">
        <v>0</v>
      </c>
      <c r="D34" s="5">
        <f>D33-C33</f>
        <v/>
      </c>
      <c r="E34" s="5">
        <f>E33-D33</f>
        <v/>
      </c>
      <c r="F34" s="5">
        <f>F33-E33</f>
        <v/>
      </c>
      <c r="G34" s="5">
        <f>G33-F33</f>
        <v/>
      </c>
      <c r="H34" s="5">
        <f>H33-G33</f>
        <v/>
      </c>
      <c r="I34" s="5">
        <f>I33-H33</f>
        <v/>
      </c>
      <c r="J34" s="5">
        <f>J33-I33</f>
        <v/>
      </c>
      <c r="K34" s="5">
        <f>K33-J33</f>
        <v/>
      </c>
      <c r="L34" s="5">
        <f>L33-K33</f>
        <v/>
      </c>
      <c r="M34" s="5">
        <f>M33-L33</f>
        <v/>
      </c>
      <c r="N34" s="5">
        <f>N33-M33</f>
        <v/>
      </c>
      <c r="O34" s="5">
        <f>O33-N33</f>
        <v/>
      </c>
      <c r="P34" s="5">
        <f>P33-O33</f>
        <v/>
      </c>
      <c r="Q34" s="5">
        <f>Q33-P33</f>
        <v/>
      </c>
      <c r="R34" s="5">
        <f>R33-Q33</f>
        <v/>
      </c>
      <c r="S34" s="5">
        <f>S33-R33</f>
        <v/>
      </c>
      <c r="T34" s="5">
        <f>T33-S33</f>
        <v/>
      </c>
      <c r="U34" s="5">
        <f>U33-T33</f>
        <v/>
      </c>
      <c r="V34" s="5">
        <f>V33-U33</f>
        <v/>
      </c>
      <c r="W34" s="5">
        <f>W33-V33</f>
        <v/>
      </c>
      <c r="X34" s="5">
        <f>X33-W33</f>
        <v/>
      </c>
      <c r="Y34" s="5">
        <f>Y33-X33</f>
        <v/>
      </c>
      <c r="Z34" s="5">
        <f>Z33-Y33</f>
        <v/>
      </c>
      <c r="AA34" s="5">
        <f>AA33-Z33</f>
        <v/>
      </c>
    </row>
    <row r="35">
      <c r="A35" t="inlineStr">
        <is>
          <t>Revenue</t>
        </is>
      </c>
      <c r="C35" s="5" t="n">
        <v>0</v>
      </c>
      <c r="D35" s="5">
        <f>D34*(Assumptions!$G$36+Assumptions!$K$36)+D33*Assumptions!$I$36</f>
        <v/>
      </c>
      <c r="E35" s="5">
        <f>E34*(Assumptions!$G$36+Assumptions!$K$36)+E33*Assumptions!$I$36</f>
        <v/>
      </c>
      <c r="F35" s="5">
        <f>F34*(Assumptions!$G$36+Assumptions!$K$36)+F33*Assumptions!$I$36</f>
        <v/>
      </c>
      <c r="G35" s="5">
        <f>G34*(Assumptions!$G$36+Assumptions!$K$36)+G33*Assumptions!$I$36</f>
        <v/>
      </c>
      <c r="H35" s="5">
        <f>H34*(Assumptions!$G$36+Assumptions!$K$36)+H33*Assumptions!$I$36</f>
        <v/>
      </c>
      <c r="I35" s="5">
        <f>I34*(Assumptions!$G$36+Assumptions!$K$36)+I33*Assumptions!$I$36</f>
        <v/>
      </c>
      <c r="J35" s="5">
        <f>J34*(Assumptions!$G$36+Assumptions!$K$36)+J33*Assumptions!$I$36</f>
        <v/>
      </c>
      <c r="K35" s="5">
        <f>K34*(Assumptions!$G$36+Assumptions!$K$36)+K33*Assumptions!$I$36</f>
        <v/>
      </c>
      <c r="L35" s="5">
        <f>L34*(Assumptions!$G$36+Assumptions!$K$36)+L33*Assumptions!$I$36</f>
        <v/>
      </c>
      <c r="M35" s="5">
        <f>M34*(Assumptions!$G$36+Assumptions!$K$36)+M33*Assumptions!$I$36</f>
        <v/>
      </c>
      <c r="N35" s="5">
        <f>N34*(Assumptions!$G$36+Assumptions!$K$36)+N33*Assumptions!$I$36</f>
        <v/>
      </c>
      <c r="O35" s="5">
        <f>O34*(Assumptions!$G$36+Assumptions!$K$36)+O33*Assumptions!$I$36</f>
        <v/>
      </c>
      <c r="P35" s="5">
        <f>P34*(Assumptions!$G$36+Assumptions!$K$36)+P33*Assumptions!$I$36</f>
        <v/>
      </c>
      <c r="Q35" s="5">
        <f>Q34*(Assumptions!$G$36+Assumptions!$K$36)+Q33*Assumptions!$I$36</f>
        <v/>
      </c>
      <c r="R35" s="5">
        <f>R34*(Assumptions!$G$36+Assumptions!$K$36)+R33*Assumptions!$I$36</f>
        <v/>
      </c>
      <c r="S35" s="5">
        <f>S34*(Assumptions!$G$36+Assumptions!$K$36)+S33*Assumptions!$I$36</f>
        <v/>
      </c>
      <c r="T35" s="5">
        <f>T34*(Assumptions!$G$36+Assumptions!$K$36)+T33*Assumptions!$I$36</f>
        <v/>
      </c>
      <c r="U35" s="5">
        <f>U34*(Assumptions!$G$36+Assumptions!$K$36)+U33*Assumptions!$I$36</f>
        <v/>
      </c>
      <c r="V35" s="5">
        <f>V34*(Assumptions!$G$36+Assumptions!$K$36)+V33*Assumptions!$I$36</f>
        <v/>
      </c>
      <c r="W35" s="5">
        <f>W34*(Assumptions!$G$36+Assumptions!$K$36)+W33*Assumptions!$I$36</f>
        <v/>
      </c>
      <c r="X35" s="5">
        <f>X34*(Assumptions!$G$36+Assumptions!$K$36)+X33*Assumptions!$I$36</f>
        <v/>
      </c>
      <c r="Y35" s="5">
        <f>Y34*(Assumptions!$G$36+Assumptions!$K$36)+Y33*Assumptions!$I$36</f>
        <v/>
      </c>
      <c r="Z35" s="5">
        <f>Z34*(Assumptions!$G$36+Assumptions!$K$36)+Z33*Assumptions!$I$36</f>
        <v/>
      </c>
      <c r="AA35" s="5">
        <f>AA34*(Assumptions!$G$36+Assumptions!$K$36)+AA33*Assumptions!$I$36</f>
        <v/>
      </c>
    </row>
    <row r="36">
      <c r="A36" t="inlineStr">
        <is>
          <t>Direct cost</t>
        </is>
      </c>
      <c r="C36" s="5" t="n">
        <v>0</v>
      </c>
      <c r="D36" s="5">
        <f>D34*(Assumptions!$H$36+Assumptions!$L$36)+D33*Assumptions!$J$36</f>
        <v/>
      </c>
      <c r="E36" s="5">
        <f>E34*(Assumptions!$H$36+Assumptions!$L$36)+E33*Assumptions!$J$36</f>
        <v/>
      </c>
      <c r="F36" s="5">
        <f>F34*(Assumptions!$H$36+Assumptions!$L$36)+F33*Assumptions!$J$36</f>
        <v/>
      </c>
      <c r="G36" s="5">
        <f>G34*(Assumptions!$H$36+Assumptions!$L$36)+G33*Assumptions!$J$36</f>
        <v/>
      </c>
      <c r="H36" s="5">
        <f>H34*(Assumptions!$H$36+Assumptions!$L$36)+H33*Assumptions!$J$36</f>
        <v/>
      </c>
      <c r="I36" s="5">
        <f>I34*(Assumptions!$H$36+Assumptions!$L$36)+I33*Assumptions!$J$36</f>
        <v/>
      </c>
      <c r="J36" s="5">
        <f>J34*(Assumptions!$H$36+Assumptions!$L$36)+J33*Assumptions!$J$36</f>
        <v/>
      </c>
      <c r="K36" s="5">
        <f>K34*(Assumptions!$H$36+Assumptions!$L$36)+K33*Assumptions!$J$36</f>
        <v/>
      </c>
      <c r="L36" s="5">
        <f>L34*(Assumptions!$H$36+Assumptions!$L$36)+L33*Assumptions!$J$36</f>
        <v/>
      </c>
      <c r="M36" s="5">
        <f>M34*(Assumptions!$H$36+Assumptions!$L$36)+M33*Assumptions!$J$36</f>
        <v/>
      </c>
      <c r="N36" s="5">
        <f>N34*(Assumptions!$H$36+Assumptions!$L$36)+N33*Assumptions!$J$36</f>
        <v/>
      </c>
      <c r="O36" s="5">
        <f>O34*(Assumptions!$H$36+Assumptions!$L$36)+O33*Assumptions!$J$36</f>
        <v/>
      </c>
      <c r="P36" s="5">
        <f>P34*(Assumptions!$H$36+Assumptions!$L$36)+P33*Assumptions!$J$36</f>
        <v/>
      </c>
      <c r="Q36" s="5">
        <f>Q34*(Assumptions!$H$36+Assumptions!$L$36)+Q33*Assumptions!$J$36</f>
        <v/>
      </c>
      <c r="R36" s="5">
        <f>R34*(Assumptions!$H$36+Assumptions!$L$36)+R33*Assumptions!$J$36</f>
        <v/>
      </c>
      <c r="S36" s="5">
        <f>S34*(Assumptions!$H$36+Assumptions!$L$36)+S33*Assumptions!$J$36</f>
        <v/>
      </c>
      <c r="T36" s="5">
        <f>T34*(Assumptions!$H$36+Assumptions!$L$36)+T33*Assumptions!$J$36</f>
        <v/>
      </c>
      <c r="U36" s="5">
        <f>U34*(Assumptions!$H$36+Assumptions!$L$36)+U33*Assumptions!$J$36</f>
        <v/>
      </c>
      <c r="V36" s="5">
        <f>V34*(Assumptions!$H$36+Assumptions!$L$36)+V33*Assumptions!$J$36</f>
        <v/>
      </c>
      <c r="W36" s="5">
        <f>W34*(Assumptions!$H$36+Assumptions!$L$36)+W33*Assumptions!$J$36</f>
        <v/>
      </c>
      <c r="X36" s="5">
        <f>X34*(Assumptions!$H$36+Assumptions!$L$36)+X33*Assumptions!$J$36</f>
        <v/>
      </c>
      <c r="Y36" s="5">
        <f>Y34*(Assumptions!$H$36+Assumptions!$L$36)+Y33*Assumptions!$J$36</f>
        <v/>
      </c>
      <c r="Z36" s="5">
        <f>Z34*(Assumptions!$H$36+Assumptions!$L$36)+Z33*Assumptions!$J$36</f>
        <v/>
      </c>
      <c r="AA36" s="5">
        <f>AA34*(Assumptions!$H$36+Assumptions!$L$36)+AA33*Assumptions!$J$36</f>
        <v/>
      </c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>
      <c r="A38" s="1">
        <f>Assumptions!B37&amp;" / "&amp;Assumptions!C37&amp;" / "&amp;Assumptions!D37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>
      <c r="A39" t="inlineStr">
        <is>
          <t>Units installed (cum.)</t>
        </is>
      </c>
      <c r="C39" s="5" t="n">
        <v>0</v>
      </c>
      <c r="D39" s="5">
        <f>IF(D$3&gt;=Assumptions!$M$37,D$4*Assumptions!$E$37*Assumptions!$F$37,0)</f>
        <v/>
      </c>
      <c r="E39" s="5">
        <f>IF(E$3&gt;=Assumptions!$M$37,E$4*Assumptions!$E$37*Assumptions!$F$37,0)</f>
        <v/>
      </c>
      <c r="F39" s="5">
        <f>IF(F$3&gt;=Assumptions!$M$37,F$4*Assumptions!$E$37*Assumptions!$F$37,0)</f>
        <v/>
      </c>
      <c r="G39" s="5">
        <f>IF(G$3&gt;=Assumptions!$M$37,G$4*Assumptions!$E$37*Assumptions!$F$37,0)</f>
        <v/>
      </c>
      <c r="H39" s="5">
        <f>IF(H$3&gt;=Assumptions!$M$37,H$4*Assumptions!$E$37*Assumptions!$F$37,0)</f>
        <v/>
      </c>
      <c r="I39" s="5">
        <f>IF(I$3&gt;=Assumptions!$M$37,I$4*Assumptions!$E$37*Assumptions!$F$37,0)</f>
        <v/>
      </c>
      <c r="J39" s="5">
        <f>IF(J$3&gt;=Assumptions!$M$37,J$4*Assumptions!$E$37*Assumptions!$F$37,0)</f>
        <v/>
      </c>
      <c r="K39" s="5">
        <f>IF(K$3&gt;=Assumptions!$M$37,K$4*Assumptions!$E$37*Assumptions!$F$37,0)</f>
        <v/>
      </c>
      <c r="L39" s="5">
        <f>IF(L$3&gt;=Assumptions!$M$37,L$4*Assumptions!$E$37*Assumptions!$F$37,0)</f>
        <v/>
      </c>
      <c r="M39" s="5">
        <f>IF(M$3&gt;=Assumptions!$M$37,M$4*Assumptions!$E$37*Assumptions!$F$37,0)</f>
        <v/>
      </c>
      <c r="N39" s="5">
        <f>IF(N$3&gt;=Assumptions!$M$37,N$4*Assumptions!$E$37*Assumptions!$F$37,0)</f>
        <v/>
      </c>
      <c r="O39" s="5">
        <f>IF(O$3&gt;=Assumptions!$M$37,O$4*Assumptions!$E$37*Assumptions!$F$37,0)</f>
        <v/>
      </c>
      <c r="P39" s="5">
        <f>IF(P$3&gt;=Assumptions!$M$37,P$4*Assumptions!$E$37*Assumptions!$F$37,0)</f>
        <v/>
      </c>
      <c r="Q39" s="5">
        <f>IF(Q$3&gt;=Assumptions!$M$37,Q$4*Assumptions!$E$37*Assumptions!$F$37,0)</f>
        <v/>
      </c>
      <c r="R39" s="5">
        <f>IF(R$3&gt;=Assumptions!$M$37,R$4*Assumptions!$E$37*Assumptions!$F$37,0)</f>
        <v/>
      </c>
      <c r="S39" s="5">
        <f>IF(S$3&gt;=Assumptions!$M$37,S$4*Assumptions!$E$37*Assumptions!$F$37,0)</f>
        <v/>
      </c>
      <c r="T39" s="5">
        <f>IF(T$3&gt;=Assumptions!$M$37,T$4*Assumptions!$E$37*Assumptions!$F$37,0)</f>
        <v/>
      </c>
      <c r="U39" s="5">
        <f>IF(U$3&gt;=Assumptions!$M$37,U$4*Assumptions!$E$37*Assumptions!$F$37,0)</f>
        <v/>
      </c>
      <c r="V39" s="5">
        <f>IF(V$3&gt;=Assumptions!$M$37,V$4*Assumptions!$E$37*Assumptions!$F$37,0)</f>
        <v/>
      </c>
      <c r="W39" s="5">
        <f>IF(W$3&gt;=Assumptions!$M$37,W$4*Assumptions!$E$37*Assumptions!$F$37,0)</f>
        <v/>
      </c>
      <c r="X39" s="5">
        <f>IF(X$3&gt;=Assumptions!$M$37,X$4*Assumptions!$E$37*Assumptions!$F$37,0)</f>
        <v/>
      </c>
      <c r="Y39" s="5">
        <f>IF(Y$3&gt;=Assumptions!$M$37,Y$4*Assumptions!$E$37*Assumptions!$F$37,0)</f>
        <v/>
      </c>
      <c r="Z39" s="5">
        <f>IF(Z$3&gt;=Assumptions!$M$37,Z$4*Assumptions!$E$37*Assumptions!$F$37,0)</f>
        <v/>
      </c>
      <c r="AA39" s="5">
        <f>IF(AA$3&gt;=Assumptions!$M$37,AA$4*Assumptions!$E$37*Assumptions!$F$37,0)</f>
        <v/>
      </c>
    </row>
    <row r="40">
      <c r="A40" t="inlineStr">
        <is>
          <t>New units</t>
        </is>
      </c>
      <c r="C40" s="5" t="n">
        <v>0</v>
      </c>
      <c r="D40" s="5">
        <f>D39-C39</f>
        <v/>
      </c>
      <c r="E40" s="5">
        <f>E39-D39</f>
        <v/>
      </c>
      <c r="F40" s="5">
        <f>F39-E39</f>
        <v/>
      </c>
      <c r="G40" s="5">
        <f>G39-F39</f>
        <v/>
      </c>
      <c r="H40" s="5">
        <f>H39-G39</f>
        <v/>
      </c>
      <c r="I40" s="5">
        <f>I39-H39</f>
        <v/>
      </c>
      <c r="J40" s="5">
        <f>J39-I39</f>
        <v/>
      </c>
      <c r="K40" s="5">
        <f>K39-J39</f>
        <v/>
      </c>
      <c r="L40" s="5">
        <f>L39-K39</f>
        <v/>
      </c>
      <c r="M40" s="5">
        <f>M39-L39</f>
        <v/>
      </c>
      <c r="N40" s="5">
        <f>N39-M39</f>
        <v/>
      </c>
      <c r="O40" s="5">
        <f>O39-N39</f>
        <v/>
      </c>
      <c r="P40" s="5">
        <f>P39-O39</f>
        <v/>
      </c>
      <c r="Q40" s="5">
        <f>Q39-P39</f>
        <v/>
      </c>
      <c r="R40" s="5">
        <f>R39-Q39</f>
        <v/>
      </c>
      <c r="S40" s="5">
        <f>S39-R39</f>
        <v/>
      </c>
      <c r="T40" s="5">
        <f>T39-S39</f>
        <v/>
      </c>
      <c r="U40" s="5">
        <f>U39-T39</f>
        <v/>
      </c>
      <c r="V40" s="5">
        <f>V39-U39</f>
        <v/>
      </c>
      <c r="W40" s="5">
        <f>W39-V39</f>
        <v/>
      </c>
      <c r="X40" s="5">
        <f>X39-W39</f>
        <v/>
      </c>
      <c r="Y40" s="5">
        <f>Y39-X39</f>
        <v/>
      </c>
      <c r="Z40" s="5">
        <f>Z39-Y39</f>
        <v/>
      </c>
      <c r="AA40" s="5">
        <f>AA39-Z39</f>
        <v/>
      </c>
    </row>
    <row r="41">
      <c r="A41" t="inlineStr">
        <is>
          <t>Revenue</t>
        </is>
      </c>
      <c r="C41" s="5" t="n">
        <v>0</v>
      </c>
      <c r="D41" s="5">
        <f>D40*(Assumptions!$G$37+Assumptions!$K$37)+D39*Assumptions!$I$37</f>
        <v/>
      </c>
      <c r="E41" s="5">
        <f>E40*(Assumptions!$G$37+Assumptions!$K$37)+E39*Assumptions!$I$37</f>
        <v/>
      </c>
      <c r="F41" s="5">
        <f>F40*(Assumptions!$G$37+Assumptions!$K$37)+F39*Assumptions!$I$37</f>
        <v/>
      </c>
      <c r="G41" s="5">
        <f>G40*(Assumptions!$G$37+Assumptions!$K$37)+G39*Assumptions!$I$37</f>
        <v/>
      </c>
      <c r="H41" s="5">
        <f>H40*(Assumptions!$G$37+Assumptions!$K$37)+H39*Assumptions!$I$37</f>
        <v/>
      </c>
      <c r="I41" s="5">
        <f>I40*(Assumptions!$G$37+Assumptions!$K$37)+I39*Assumptions!$I$37</f>
        <v/>
      </c>
      <c r="J41" s="5">
        <f>J40*(Assumptions!$G$37+Assumptions!$K$37)+J39*Assumptions!$I$37</f>
        <v/>
      </c>
      <c r="K41" s="5">
        <f>K40*(Assumptions!$G$37+Assumptions!$K$37)+K39*Assumptions!$I$37</f>
        <v/>
      </c>
      <c r="L41" s="5">
        <f>L40*(Assumptions!$G$37+Assumptions!$K$37)+L39*Assumptions!$I$37</f>
        <v/>
      </c>
      <c r="M41" s="5">
        <f>M40*(Assumptions!$G$37+Assumptions!$K$37)+M39*Assumptions!$I$37</f>
        <v/>
      </c>
      <c r="N41" s="5">
        <f>N40*(Assumptions!$G$37+Assumptions!$K$37)+N39*Assumptions!$I$37</f>
        <v/>
      </c>
      <c r="O41" s="5">
        <f>O40*(Assumptions!$G$37+Assumptions!$K$37)+O39*Assumptions!$I$37</f>
        <v/>
      </c>
      <c r="P41" s="5">
        <f>P40*(Assumptions!$G$37+Assumptions!$K$37)+P39*Assumptions!$I$37</f>
        <v/>
      </c>
      <c r="Q41" s="5">
        <f>Q40*(Assumptions!$G$37+Assumptions!$K$37)+Q39*Assumptions!$I$37</f>
        <v/>
      </c>
      <c r="R41" s="5">
        <f>R40*(Assumptions!$G$37+Assumptions!$K$37)+R39*Assumptions!$I$37</f>
        <v/>
      </c>
      <c r="S41" s="5">
        <f>S40*(Assumptions!$G$37+Assumptions!$K$37)+S39*Assumptions!$I$37</f>
        <v/>
      </c>
      <c r="T41" s="5">
        <f>T40*(Assumptions!$G$37+Assumptions!$K$37)+T39*Assumptions!$I$37</f>
        <v/>
      </c>
      <c r="U41" s="5">
        <f>U40*(Assumptions!$G$37+Assumptions!$K$37)+U39*Assumptions!$I$37</f>
        <v/>
      </c>
      <c r="V41" s="5">
        <f>V40*(Assumptions!$G$37+Assumptions!$K$37)+V39*Assumptions!$I$37</f>
        <v/>
      </c>
      <c r="W41" s="5">
        <f>W40*(Assumptions!$G$37+Assumptions!$K$37)+W39*Assumptions!$I$37</f>
        <v/>
      </c>
      <c r="X41" s="5">
        <f>X40*(Assumptions!$G$37+Assumptions!$K$37)+X39*Assumptions!$I$37</f>
        <v/>
      </c>
      <c r="Y41" s="5">
        <f>Y40*(Assumptions!$G$37+Assumptions!$K$37)+Y39*Assumptions!$I$37</f>
        <v/>
      </c>
      <c r="Z41" s="5">
        <f>Z40*(Assumptions!$G$37+Assumptions!$K$37)+Z39*Assumptions!$I$37</f>
        <v/>
      </c>
      <c r="AA41" s="5">
        <f>AA40*(Assumptions!$G$37+Assumptions!$K$37)+AA39*Assumptions!$I$37</f>
        <v/>
      </c>
    </row>
    <row r="42">
      <c r="A42" t="inlineStr">
        <is>
          <t>Direct cost</t>
        </is>
      </c>
      <c r="C42" s="5" t="n">
        <v>0</v>
      </c>
      <c r="D42" s="5">
        <f>D40*(Assumptions!$H$37+Assumptions!$L$37)+D39*Assumptions!$J$37</f>
        <v/>
      </c>
      <c r="E42" s="5">
        <f>E40*(Assumptions!$H$37+Assumptions!$L$37)+E39*Assumptions!$J$37</f>
        <v/>
      </c>
      <c r="F42" s="5">
        <f>F40*(Assumptions!$H$37+Assumptions!$L$37)+F39*Assumptions!$J$37</f>
        <v/>
      </c>
      <c r="G42" s="5">
        <f>G40*(Assumptions!$H$37+Assumptions!$L$37)+G39*Assumptions!$J$37</f>
        <v/>
      </c>
      <c r="H42" s="5">
        <f>H40*(Assumptions!$H$37+Assumptions!$L$37)+H39*Assumptions!$J$37</f>
        <v/>
      </c>
      <c r="I42" s="5">
        <f>I40*(Assumptions!$H$37+Assumptions!$L$37)+I39*Assumptions!$J$37</f>
        <v/>
      </c>
      <c r="J42" s="5">
        <f>J40*(Assumptions!$H$37+Assumptions!$L$37)+J39*Assumptions!$J$37</f>
        <v/>
      </c>
      <c r="K42" s="5">
        <f>K40*(Assumptions!$H$37+Assumptions!$L$37)+K39*Assumptions!$J$37</f>
        <v/>
      </c>
      <c r="L42" s="5">
        <f>L40*(Assumptions!$H$37+Assumptions!$L$37)+L39*Assumptions!$J$37</f>
        <v/>
      </c>
      <c r="M42" s="5">
        <f>M40*(Assumptions!$H$37+Assumptions!$L$37)+M39*Assumptions!$J$37</f>
        <v/>
      </c>
      <c r="N42" s="5">
        <f>N40*(Assumptions!$H$37+Assumptions!$L$37)+N39*Assumptions!$J$37</f>
        <v/>
      </c>
      <c r="O42" s="5">
        <f>O40*(Assumptions!$H$37+Assumptions!$L$37)+O39*Assumptions!$J$37</f>
        <v/>
      </c>
      <c r="P42" s="5">
        <f>P40*(Assumptions!$H$37+Assumptions!$L$37)+P39*Assumptions!$J$37</f>
        <v/>
      </c>
      <c r="Q42" s="5">
        <f>Q40*(Assumptions!$H$37+Assumptions!$L$37)+Q39*Assumptions!$J$37</f>
        <v/>
      </c>
      <c r="R42" s="5">
        <f>R40*(Assumptions!$H$37+Assumptions!$L$37)+R39*Assumptions!$J$37</f>
        <v/>
      </c>
      <c r="S42" s="5">
        <f>S40*(Assumptions!$H$37+Assumptions!$L$37)+S39*Assumptions!$J$37</f>
        <v/>
      </c>
      <c r="T42" s="5">
        <f>T40*(Assumptions!$H$37+Assumptions!$L$37)+T39*Assumptions!$J$37</f>
        <v/>
      </c>
      <c r="U42" s="5">
        <f>U40*(Assumptions!$H$37+Assumptions!$L$37)+U39*Assumptions!$J$37</f>
        <v/>
      </c>
      <c r="V42" s="5">
        <f>V40*(Assumptions!$H$37+Assumptions!$L$37)+V39*Assumptions!$J$37</f>
        <v/>
      </c>
      <c r="W42" s="5">
        <f>W40*(Assumptions!$H$37+Assumptions!$L$37)+W39*Assumptions!$J$37</f>
        <v/>
      </c>
      <c r="X42" s="5">
        <f>X40*(Assumptions!$H$37+Assumptions!$L$37)+X39*Assumptions!$J$37</f>
        <v/>
      </c>
      <c r="Y42" s="5">
        <f>Y40*(Assumptions!$H$37+Assumptions!$L$37)+Y39*Assumptions!$J$37</f>
        <v/>
      </c>
      <c r="Z42" s="5">
        <f>Z40*(Assumptions!$H$37+Assumptions!$L$37)+Z39*Assumptions!$J$37</f>
        <v/>
      </c>
      <c r="AA42" s="5">
        <f>AA40*(Assumptions!$H$37+Assumptions!$L$37)+AA39*Assumptions!$J$37</f>
        <v/>
      </c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>
      <c r="A44" s="1">
        <f>Assumptions!B38&amp;" / "&amp;Assumptions!C38&amp;" / "&amp;Assumptions!D38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>
      <c r="A45" t="inlineStr">
        <is>
          <t>Units installed (cum.)</t>
        </is>
      </c>
      <c r="C45" s="5" t="n">
        <v>0</v>
      </c>
      <c r="D45" s="5">
        <f>IF(D$3&gt;=Assumptions!$M$38,D$4*Assumptions!$E$38*Assumptions!$F$38,0)</f>
        <v/>
      </c>
      <c r="E45" s="5">
        <f>IF(E$3&gt;=Assumptions!$M$38,E$4*Assumptions!$E$38*Assumptions!$F$38,0)</f>
        <v/>
      </c>
      <c r="F45" s="5">
        <f>IF(F$3&gt;=Assumptions!$M$38,F$4*Assumptions!$E$38*Assumptions!$F$38,0)</f>
        <v/>
      </c>
      <c r="G45" s="5">
        <f>IF(G$3&gt;=Assumptions!$M$38,G$4*Assumptions!$E$38*Assumptions!$F$38,0)</f>
        <v/>
      </c>
      <c r="H45" s="5">
        <f>IF(H$3&gt;=Assumptions!$M$38,H$4*Assumptions!$E$38*Assumptions!$F$38,0)</f>
        <v/>
      </c>
      <c r="I45" s="5">
        <f>IF(I$3&gt;=Assumptions!$M$38,I$4*Assumptions!$E$38*Assumptions!$F$38,0)</f>
        <v/>
      </c>
      <c r="J45" s="5">
        <f>IF(J$3&gt;=Assumptions!$M$38,J$4*Assumptions!$E$38*Assumptions!$F$38,0)</f>
        <v/>
      </c>
      <c r="K45" s="5">
        <f>IF(K$3&gt;=Assumptions!$M$38,K$4*Assumptions!$E$38*Assumptions!$F$38,0)</f>
        <v/>
      </c>
      <c r="L45" s="5">
        <f>IF(L$3&gt;=Assumptions!$M$38,L$4*Assumptions!$E$38*Assumptions!$F$38,0)</f>
        <v/>
      </c>
      <c r="M45" s="5">
        <f>IF(M$3&gt;=Assumptions!$M$38,M$4*Assumptions!$E$38*Assumptions!$F$38,0)</f>
        <v/>
      </c>
      <c r="N45" s="5">
        <f>IF(N$3&gt;=Assumptions!$M$38,N$4*Assumptions!$E$38*Assumptions!$F$38,0)</f>
        <v/>
      </c>
      <c r="O45" s="5">
        <f>IF(O$3&gt;=Assumptions!$M$38,O$4*Assumptions!$E$38*Assumptions!$F$38,0)</f>
        <v/>
      </c>
      <c r="P45" s="5">
        <f>IF(P$3&gt;=Assumptions!$M$38,P$4*Assumptions!$E$38*Assumptions!$F$38,0)</f>
        <v/>
      </c>
      <c r="Q45" s="5">
        <f>IF(Q$3&gt;=Assumptions!$M$38,Q$4*Assumptions!$E$38*Assumptions!$F$38,0)</f>
        <v/>
      </c>
      <c r="R45" s="5">
        <f>IF(R$3&gt;=Assumptions!$M$38,R$4*Assumptions!$E$38*Assumptions!$F$38,0)</f>
        <v/>
      </c>
      <c r="S45" s="5">
        <f>IF(S$3&gt;=Assumptions!$M$38,S$4*Assumptions!$E$38*Assumptions!$F$38,0)</f>
        <v/>
      </c>
      <c r="T45" s="5">
        <f>IF(T$3&gt;=Assumptions!$M$38,T$4*Assumptions!$E$38*Assumptions!$F$38,0)</f>
        <v/>
      </c>
      <c r="U45" s="5">
        <f>IF(U$3&gt;=Assumptions!$M$38,U$4*Assumptions!$E$38*Assumptions!$F$38,0)</f>
        <v/>
      </c>
      <c r="V45" s="5">
        <f>IF(V$3&gt;=Assumptions!$M$38,V$4*Assumptions!$E$38*Assumptions!$F$38,0)</f>
        <v/>
      </c>
      <c r="W45" s="5">
        <f>IF(W$3&gt;=Assumptions!$M$38,W$4*Assumptions!$E$38*Assumptions!$F$38,0)</f>
        <v/>
      </c>
      <c r="X45" s="5">
        <f>IF(X$3&gt;=Assumptions!$M$38,X$4*Assumptions!$E$38*Assumptions!$F$38,0)</f>
        <v/>
      </c>
      <c r="Y45" s="5">
        <f>IF(Y$3&gt;=Assumptions!$M$38,Y$4*Assumptions!$E$38*Assumptions!$F$38,0)</f>
        <v/>
      </c>
      <c r="Z45" s="5">
        <f>IF(Z$3&gt;=Assumptions!$M$38,Z$4*Assumptions!$E$38*Assumptions!$F$38,0)</f>
        <v/>
      </c>
      <c r="AA45" s="5">
        <f>IF(AA$3&gt;=Assumptions!$M$38,AA$4*Assumptions!$E$38*Assumptions!$F$38,0)</f>
        <v/>
      </c>
    </row>
    <row r="46">
      <c r="A46" t="inlineStr">
        <is>
          <t>New units</t>
        </is>
      </c>
      <c r="C46" s="5" t="n">
        <v>0</v>
      </c>
      <c r="D46" s="5">
        <f>D45-C45</f>
        <v/>
      </c>
      <c r="E46" s="5">
        <f>E45-D45</f>
        <v/>
      </c>
      <c r="F46" s="5">
        <f>F45-E45</f>
        <v/>
      </c>
      <c r="G46" s="5">
        <f>G45-F45</f>
        <v/>
      </c>
      <c r="H46" s="5">
        <f>H45-G45</f>
        <v/>
      </c>
      <c r="I46" s="5">
        <f>I45-H45</f>
        <v/>
      </c>
      <c r="J46" s="5">
        <f>J45-I45</f>
        <v/>
      </c>
      <c r="K46" s="5">
        <f>K45-J45</f>
        <v/>
      </c>
      <c r="L46" s="5">
        <f>L45-K45</f>
        <v/>
      </c>
      <c r="M46" s="5">
        <f>M45-L45</f>
        <v/>
      </c>
      <c r="N46" s="5">
        <f>N45-M45</f>
        <v/>
      </c>
      <c r="O46" s="5">
        <f>O45-N45</f>
        <v/>
      </c>
      <c r="P46" s="5">
        <f>P45-O45</f>
        <v/>
      </c>
      <c r="Q46" s="5">
        <f>Q45-P45</f>
        <v/>
      </c>
      <c r="R46" s="5">
        <f>R45-Q45</f>
        <v/>
      </c>
      <c r="S46" s="5">
        <f>S45-R45</f>
        <v/>
      </c>
      <c r="T46" s="5">
        <f>T45-S45</f>
        <v/>
      </c>
      <c r="U46" s="5">
        <f>U45-T45</f>
        <v/>
      </c>
      <c r="V46" s="5">
        <f>V45-U45</f>
        <v/>
      </c>
      <c r="W46" s="5">
        <f>W45-V45</f>
        <v/>
      </c>
      <c r="X46" s="5">
        <f>X45-W45</f>
        <v/>
      </c>
      <c r="Y46" s="5">
        <f>Y45-X45</f>
        <v/>
      </c>
      <c r="Z46" s="5">
        <f>Z45-Y45</f>
        <v/>
      </c>
      <c r="AA46" s="5">
        <f>AA45-Z45</f>
        <v/>
      </c>
    </row>
    <row r="47">
      <c r="A47" t="inlineStr">
        <is>
          <t>Revenue</t>
        </is>
      </c>
      <c r="C47" s="5" t="n">
        <v>0</v>
      </c>
      <c r="D47" s="5">
        <f>D46*(Assumptions!$G$38+Assumptions!$K$38)+D45*Assumptions!$I$38</f>
        <v/>
      </c>
      <c r="E47" s="5">
        <f>E46*(Assumptions!$G$38+Assumptions!$K$38)+E45*Assumptions!$I$38</f>
        <v/>
      </c>
      <c r="F47" s="5">
        <f>F46*(Assumptions!$G$38+Assumptions!$K$38)+F45*Assumptions!$I$38</f>
        <v/>
      </c>
      <c r="G47" s="5">
        <f>G46*(Assumptions!$G$38+Assumptions!$K$38)+G45*Assumptions!$I$38</f>
        <v/>
      </c>
      <c r="H47" s="5">
        <f>H46*(Assumptions!$G$38+Assumptions!$K$38)+H45*Assumptions!$I$38</f>
        <v/>
      </c>
      <c r="I47" s="5">
        <f>I46*(Assumptions!$G$38+Assumptions!$K$38)+I45*Assumptions!$I$38</f>
        <v/>
      </c>
      <c r="J47" s="5">
        <f>J46*(Assumptions!$G$38+Assumptions!$K$38)+J45*Assumptions!$I$38</f>
        <v/>
      </c>
      <c r="K47" s="5">
        <f>K46*(Assumptions!$G$38+Assumptions!$K$38)+K45*Assumptions!$I$38</f>
        <v/>
      </c>
      <c r="L47" s="5">
        <f>L46*(Assumptions!$G$38+Assumptions!$K$38)+L45*Assumptions!$I$38</f>
        <v/>
      </c>
      <c r="M47" s="5">
        <f>M46*(Assumptions!$G$38+Assumptions!$K$38)+M45*Assumptions!$I$38</f>
        <v/>
      </c>
      <c r="N47" s="5">
        <f>N46*(Assumptions!$G$38+Assumptions!$K$38)+N45*Assumptions!$I$38</f>
        <v/>
      </c>
      <c r="O47" s="5">
        <f>O46*(Assumptions!$G$38+Assumptions!$K$38)+O45*Assumptions!$I$38</f>
        <v/>
      </c>
      <c r="P47" s="5">
        <f>P46*(Assumptions!$G$38+Assumptions!$K$38)+P45*Assumptions!$I$38</f>
        <v/>
      </c>
      <c r="Q47" s="5">
        <f>Q46*(Assumptions!$G$38+Assumptions!$K$38)+Q45*Assumptions!$I$38</f>
        <v/>
      </c>
      <c r="R47" s="5">
        <f>R46*(Assumptions!$G$38+Assumptions!$K$38)+R45*Assumptions!$I$38</f>
        <v/>
      </c>
      <c r="S47" s="5">
        <f>S46*(Assumptions!$G$38+Assumptions!$K$38)+S45*Assumptions!$I$38</f>
        <v/>
      </c>
      <c r="T47" s="5">
        <f>T46*(Assumptions!$G$38+Assumptions!$K$38)+T45*Assumptions!$I$38</f>
        <v/>
      </c>
      <c r="U47" s="5">
        <f>U46*(Assumptions!$G$38+Assumptions!$K$38)+U45*Assumptions!$I$38</f>
        <v/>
      </c>
      <c r="V47" s="5">
        <f>V46*(Assumptions!$G$38+Assumptions!$K$38)+V45*Assumptions!$I$38</f>
        <v/>
      </c>
      <c r="W47" s="5">
        <f>W46*(Assumptions!$G$38+Assumptions!$K$38)+W45*Assumptions!$I$38</f>
        <v/>
      </c>
      <c r="X47" s="5">
        <f>X46*(Assumptions!$G$38+Assumptions!$K$38)+X45*Assumptions!$I$38</f>
        <v/>
      </c>
      <c r="Y47" s="5">
        <f>Y46*(Assumptions!$G$38+Assumptions!$K$38)+Y45*Assumptions!$I$38</f>
        <v/>
      </c>
      <c r="Z47" s="5">
        <f>Z46*(Assumptions!$G$38+Assumptions!$K$38)+Z45*Assumptions!$I$38</f>
        <v/>
      </c>
      <c r="AA47" s="5">
        <f>AA46*(Assumptions!$G$38+Assumptions!$K$38)+AA45*Assumptions!$I$38</f>
        <v/>
      </c>
    </row>
    <row r="48">
      <c r="A48" t="inlineStr">
        <is>
          <t>Direct cost</t>
        </is>
      </c>
      <c r="C48" s="5" t="n">
        <v>0</v>
      </c>
      <c r="D48" s="5">
        <f>D46*(Assumptions!$H$38+Assumptions!$L$38)+D45*Assumptions!$J$38</f>
        <v/>
      </c>
      <c r="E48" s="5">
        <f>E46*(Assumptions!$H$38+Assumptions!$L$38)+E45*Assumptions!$J$38</f>
        <v/>
      </c>
      <c r="F48" s="5">
        <f>F46*(Assumptions!$H$38+Assumptions!$L$38)+F45*Assumptions!$J$38</f>
        <v/>
      </c>
      <c r="G48" s="5">
        <f>G46*(Assumptions!$H$38+Assumptions!$L$38)+G45*Assumptions!$J$38</f>
        <v/>
      </c>
      <c r="H48" s="5">
        <f>H46*(Assumptions!$H$38+Assumptions!$L$38)+H45*Assumptions!$J$38</f>
        <v/>
      </c>
      <c r="I48" s="5">
        <f>I46*(Assumptions!$H$38+Assumptions!$L$38)+I45*Assumptions!$J$38</f>
        <v/>
      </c>
      <c r="J48" s="5">
        <f>J46*(Assumptions!$H$38+Assumptions!$L$38)+J45*Assumptions!$J$38</f>
        <v/>
      </c>
      <c r="K48" s="5">
        <f>K46*(Assumptions!$H$38+Assumptions!$L$38)+K45*Assumptions!$J$38</f>
        <v/>
      </c>
      <c r="L48" s="5">
        <f>L46*(Assumptions!$H$38+Assumptions!$L$38)+L45*Assumptions!$J$38</f>
        <v/>
      </c>
      <c r="M48" s="5">
        <f>M46*(Assumptions!$H$38+Assumptions!$L$38)+M45*Assumptions!$J$38</f>
        <v/>
      </c>
      <c r="N48" s="5">
        <f>N46*(Assumptions!$H$38+Assumptions!$L$38)+N45*Assumptions!$J$38</f>
        <v/>
      </c>
      <c r="O48" s="5">
        <f>O46*(Assumptions!$H$38+Assumptions!$L$38)+O45*Assumptions!$J$38</f>
        <v/>
      </c>
      <c r="P48" s="5">
        <f>P46*(Assumptions!$H$38+Assumptions!$L$38)+P45*Assumptions!$J$38</f>
        <v/>
      </c>
      <c r="Q48" s="5">
        <f>Q46*(Assumptions!$H$38+Assumptions!$L$38)+Q45*Assumptions!$J$38</f>
        <v/>
      </c>
      <c r="R48" s="5">
        <f>R46*(Assumptions!$H$38+Assumptions!$L$38)+R45*Assumptions!$J$38</f>
        <v/>
      </c>
      <c r="S48" s="5">
        <f>S46*(Assumptions!$H$38+Assumptions!$L$38)+S45*Assumptions!$J$38</f>
        <v/>
      </c>
      <c r="T48" s="5">
        <f>T46*(Assumptions!$H$38+Assumptions!$L$38)+T45*Assumptions!$J$38</f>
        <v/>
      </c>
      <c r="U48" s="5">
        <f>U46*(Assumptions!$H$38+Assumptions!$L$38)+U45*Assumptions!$J$38</f>
        <v/>
      </c>
      <c r="V48" s="5">
        <f>V46*(Assumptions!$H$38+Assumptions!$L$38)+V45*Assumptions!$J$38</f>
        <v/>
      </c>
      <c r="W48" s="5">
        <f>W46*(Assumptions!$H$38+Assumptions!$L$38)+W45*Assumptions!$J$38</f>
        <v/>
      </c>
      <c r="X48" s="5">
        <f>X46*(Assumptions!$H$38+Assumptions!$L$38)+X45*Assumptions!$J$38</f>
        <v/>
      </c>
      <c r="Y48" s="5">
        <f>Y46*(Assumptions!$H$38+Assumptions!$L$38)+Y45*Assumptions!$J$38</f>
        <v/>
      </c>
      <c r="Z48" s="5">
        <f>Z46*(Assumptions!$H$38+Assumptions!$L$38)+Z45*Assumptions!$J$38</f>
        <v/>
      </c>
      <c r="AA48" s="5">
        <f>AA46*(Assumptions!$H$38+Assumptions!$L$38)+AA45*Assumptions!$J$38</f>
        <v/>
      </c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>
      <c r="A50" s="1">
        <f>Assumptions!B39&amp;" / "&amp;Assumptions!C39&amp;" / "&amp;Assumptions!D39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>
      <c r="A51" t="inlineStr">
        <is>
          <t>Units installed (cum.)</t>
        </is>
      </c>
      <c r="C51" s="5" t="n">
        <v>0</v>
      </c>
      <c r="D51" s="5">
        <f>IF(D$3&gt;=Assumptions!$M$39,D$4*Assumptions!$E$39*Assumptions!$F$39,0)</f>
        <v/>
      </c>
      <c r="E51" s="5">
        <f>IF(E$3&gt;=Assumptions!$M$39,E$4*Assumptions!$E$39*Assumptions!$F$39,0)</f>
        <v/>
      </c>
      <c r="F51" s="5">
        <f>IF(F$3&gt;=Assumptions!$M$39,F$4*Assumptions!$E$39*Assumptions!$F$39,0)</f>
        <v/>
      </c>
      <c r="G51" s="5">
        <f>IF(G$3&gt;=Assumptions!$M$39,G$4*Assumptions!$E$39*Assumptions!$F$39,0)</f>
        <v/>
      </c>
      <c r="H51" s="5">
        <f>IF(H$3&gt;=Assumptions!$M$39,H$4*Assumptions!$E$39*Assumptions!$F$39,0)</f>
        <v/>
      </c>
      <c r="I51" s="5">
        <f>IF(I$3&gt;=Assumptions!$M$39,I$4*Assumptions!$E$39*Assumptions!$F$39,0)</f>
        <v/>
      </c>
      <c r="J51" s="5">
        <f>IF(J$3&gt;=Assumptions!$M$39,J$4*Assumptions!$E$39*Assumptions!$F$39,0)</f>
        <v/>
      </c>
      <c r="K51" s="5">
        <f>IF(K$3&gt;=Assumptions!$M$39,K$4*Assumptions!$E$39*Assumptions!$F$39,0)</f>
        <v/>
      </c>
      <c r="L51" s="5">
        <f>IF(L$3&gt;=Assumptions!$M$39,L$4*Assumptions!$E$39*Assumptions!$F$39,0)</f>
        <v/>
      </c>
      <c r="M51" s="5">
        <f>IF(M$3&gt;=Assumptions!$M$39,M$4*Assumptions!$E$39*Assumptions!$F$39,0)</f>
        <v/>
      </c>
      <c r="N51" s="5">
        <f>IF(N$3&gt;=Assumptions!$M$39,N$4*Assumptions!$E$39*Assumptions!$F$39,0)</f>
        <v/>
      </c>
      <c r="O51" s="5">
        <f>IF(O$3&gt;=Assumptions!$M$39,O$4*Assumptions!$E$39*Assumptions!$F$39,0)</f>
        <v/>
      </c>
      <c r="P51" s="5">
        <f>IF(P$3&gt;=Assumptions!$M$39,P$4*Assumptions!$E$39*Assumptions!$F$39,0)</f>
        <v/>
      </c>
      <c r="Q51" s="5">
        <f>IF(Q$3&gt;=Assumptions!$M$39,Q$4*Assumptions!$E$39*Assumptions!$F$39,0)</f>
        <v/>
      </c>
      <c r="R51" s="5">
        <f>IF(R$3&gt;=Assumptions!$M$39,R$4*Assumptions!$E$39*Assumptions!$F$39,0)</f>
        <v/>
      </c>
      <c r="S51" s="5">
        <f>IF(S$3&gt;=Assumptions!$M$39,S$4*Assumptions!$E$39*Assumptions!$F$39,0)</f>
        <v/>
      </c>
      <c r="T51" s="5">
        <f>IF(T$3&gt;=Assumptions!$M$39,T$4*Assumptions!$E$39*Assumptions!$F$39,0)</f>
        <v/>
      </c>
      <c r="U51" s="5">
        <f>IF(U$3&gt;=Assumptions!$M$39,U$4*Assumptions!$E$39*Assumptions!$F$39,0)</f>
        <v/>
      </c>
      <c r="V51" s="5">
        <f>IF(V$3&gt;=Assumptions!$M$39,V$4*Assumptions!$E$39*Assumptions!$F$39,0)</f>
        <v/>
      </c>
      <c r="W51" s="5">
        <f>IF(W$3&gt;=Assumptions!$M$39,W$4*Assumptions!$E$39*Assumptions!$F$39,0)</f>
        <v/>
      </c>
      <c r="X51" s="5">
        <f>IF(X$3&gt;=Assumptions!$M$39,X$4*Assumptions!$E$39*Assumptions!$F$39,0)</f>
        <v/>
      </c>
      <c r="Y51" s="5">
        <f>IF(Y$3&gt;=Assumptions!$M$39,Y$4*Assumptions!$E$39*Assumptions!$F$39,0)</f>
        <v/>
      </c>
      <c r="Z51" s="5">
        <f>IF(Z$3&gt;=Assumptions!$M$39,Z$4*Assumptions!$E$39*Assumptions!$F$39,0)</f>
        <v/>
      </c>
      <c r="AA51" s="5">
        <f>IF(AA$3&gt;=Assumptions!$M$39,AA$4*Assumptions!$E$39*Assumptions!$F$39,0)</f>
        <v/>
      </c>
    </row>
    <row r="52">
      <c r="A52" t="inlineStr">
        <is>
          <t>New units</t>
        </is>
      </c>
      <c r="C52" s="5" t="n">
        <v>0</v>
      </c>
      <c r="D52" s="5">
        <f>D51-C51</f>
        <v/>
      </c>
      <c r="E52" s="5">
        <f>E51-D51</f>
        <v/>
      </c>
      <c r="F52" s="5">
        <f>F51-E51</f>
        <v/>
      </c>
      <c r="G52" s="5">
        <f>G51-F51</f>
        <v/>
      </c>
      <c r="H52" s="5">
        <f>H51-G51</f>
        <v/>
      </c>
      <c r="I52" s="5">
        <f>I51-H51</f>
        <v/>
      </c>
      <c r="J52" s="5">
        <f>J51-I51</f>
        <v/>
      </c>
      <c r="K52" s="5">
        <f>K51-J51</f>
        <v/>
      </c>
      <c r="L52" s="5">
        <f>L51-K51</f>
        <v/>
      </c>
      <c r="M52" s="5">
        <f>M51-L51</f>
        <v/>
      </c>
      <c r="N52" s="5">
        <f>N51-M51</f>
        <v/>
      </c>
      <c r="O52" s="5">
        <f>O51-N51</f>
        <v/>
      </c>
      <c r="P52" s="5">
        <f>P51-O51</f>
        <v/>
      </c>
      <c r="Q52" s="5">
        <f>Q51-P51</f>
        <v/>
      </c>
      <c r="R52" s="5">
        <f>R51-Q51</f>
        <v/>
      </c>
      <c r="S52" s="5">
        <f>S51-R51</f>
        <v/>
      </c>
      <c r="T52" s="5">
        <f>T51-S51</f>
        <v/>
      </c>
      <c r="U52" s="5">
        <f>U51-T51</f>
        <v/>
      </c>
      <c r="V52" s="5">
        <f>V51-U51</f>
        <v/>
      </c>
      <c r="W52" s="5">
        <f>W51-V51</f>
        <v/>
      </c>
      <c r="X52" s="5">
        <f>X51-W51</f>
        <v/>
      </c>
      <c r="Y52" s="5">
        <f>Y51-X51</f>
        <v/>
      </c>
      <c r="Z52" s="5">
        <f>Z51-Y51</f>
        <v/>
      </c>
      <c r="AA52" s="5">
        <f>AA51-Z51</f>
        <v/>
      </c>
    </row>
    <row r="53">
      <c r="A53" t="inlineStr">
        <is>
          <t>Revenue</t>
        </is>
      </c>
      <c r="C53" s="5" t="n">
        <v>0</v>
      </c>
      <c r="D53" s="5">
        <f>D52*(Assumptions!$G$39+Assumptions!$K$39)+D51*Assumptions!$I$39</f>
        <v/>
      </c>
      <c r="E53" s="5">
        <f>E52*(Assumptions!$G$39+Assumptions!$K$39)+E51*Assumptions!$I$39</f>
        <v/>
      </c>
      <c r="F53" s="5">
        <f>F52*(Assumptions!$G$39+Assumptions!$K$39)+F51*Assumptions!$I$39</f>
        <v/>
      </c>
      <c r="G53" s="5">
        <f>G52*(Assumptions!$G$39+Assumptions!$K$39)+G51*Assumptions!$I$39</f>
        <v/>
      </c>
      <c r="H53" s="5">
        <f>H52*(Assumptions!$G$39+Assumptions!$K$39)+H51*Assumptions!$I$39</f>
        <v/>
      </c>
      <c r="I53" s="5">
        <f>I52*(Assumptions!$G$39+Assumptions!$K$39)+I51*Assumptions!$I$39</f>
        <v/>
      </c>
      <c r="J53" s="5">
        <f>J52*(Assumptions!$G$39+Assumptions!$K$39)+J51*Assumptions!$I$39</f>
        <v/>
      </c>
      <c r="K53" s="5">
        <f>K52*(Assumptions!$G$39+Assumptions!$K$39)+K51*Assumptions!$I$39</f>
        <v/>
      </c>
      <c r="L53" s="5">
        <f>L52*(Assumptions!$G$39+Assumptions!$K$39)+L51*Assumptions!$I$39</f>
        <v/>
      </c>
      <c r="M53" s="5">
        <f>M52*(Assumptions!$G$39+Assumptions!$K$39)+M51*Assumptions!$I$39</f>
        <v/>
      </c>
      <c r="N53" s="5">
        <f>N52*(Assumptions!$G$39+Assumptions!$K$39)+N51*Assumptions!$I$39</f>
        <v/>
      </c>
      <c r="O53" s="5">
        <f>O52*(Assumptions!$G$39+Assumptions!$K$39)+O51*Assumptions!$I$39</f>
        <v/>
      </c>
      <c r="P53" s="5">
        <f>P52*(Assumptions!$G$39+Assumptions!$K$39)+P51*Assumptions!$I$39</f>
        <v/>
      </c>
      <c r="Q53" s="5">
        <f>Q52*(Assumptions!$G$39+Assumptions!$K$39)+Q51*Assumptions!$I$39</f>
        <v/>
      </c>
      <c r="R53" s="5">
        <f>R52*(Assumptions!$G$39+Assumptions!$K$39)+R51*Assumptions!$I$39</f>
        <v/>
      </c>
      <c r="S53" s="5">
        <f>S52*(Assumptions!$G$39+Assumptions!$K$39)+S51*Assumptions!$I$39</f>
        <v/>
      </c>
      <c r="T53" s="5">
        <f>T52*(Assumptions!$G$39+Assumptions!$K$39)+T51*Assumptions!$I$39</f>
        <v/>
      </c>
      <c r="U53" s="5">
        <f>U52*(Assumptions!$G$39+Assumptions!$K$39)+U51*Assumptions!$I$39</f>
        <v/>
      </c>
      <c r="V53" s="5">
        <f>V52*(Assumptions!$G$39+Assumptions!$K$39)+V51*Assumptions!$I$39</f>
        <v/>
      </c>
      <c r="W53" s="5">
        <f>W52*(Assumptions!$G$39+Assumptions!$K$39)+W51*Assumptions!$I$39</f>
        <v/>
      </c>
      <c r="X53" s="5">
        <f>X52*(Assumptions!$G$39+Assumptions!$K$39)+X51*Assumptions!$I$39</f>
        <v/>
      </c>
      <c r="Y53" s="5">
        <f>Y52*(Assumptions!$G$39+Assumptions!$K$39)+Y51*Assumptions!$I$39</f>
        <v/>
      </c>
      <c r="Z53" s="5">
        <f>Z52*(Assumptions!$G$39+Assumptions!$K$39)+Z51*Assumptions!$I$39</f>
        <v/>
      </c>
      <c r="AA53" s="5">
        <f>AA52*(Assumptions!$G$39+Assumptions!$K$39)+AA51*Assumptions!$I$39</f>
        <v/>
      </c>
    </row>
    <row r="54">
      <c r="A54" t="inlineStr">
        <is>
          <t>Direct cost</t>
        </is>
      </c>
      <c r="C54" s="5" t="n">
        <v>0</v>
      </c>
      <c r="D54" s="5">
        <f>D52*(Assumptions!$H$39+Assumptions!$L$39)+D51*Assumptions!$J$39</f>
        <v/>
      </c>
      <c r="E54" s="5">
        <f>E52*(Assumptions!$H$39+Assumptions!$L$39)+E51*Assumptions!$J$39</f>
        <v/>
      </c>
      <c r="F54" s="5">
        <f>F52*(Assumptions!$H$39+Assumptions!$L$39)+F51*Assumptions!$J$39</f>
        <v/>
      </c>
      <c r="G54" s="5">
        <f>G52*(Assumptions!$H$39+Assumptions!$L$39)+G51*Assumptions!$J$39</f>
        <v/>
      </c>
      <c r="H54" s="5">
        <f>H52*(Assumptions!$H$39+Assumptions!$L$39)+H51*Assumptions!$J$39</f>
        <v/>
      </c>
      <c r="I54" s="5">
        <f>I52*(Assumptions!$H$39+Assumptions!$L$39)+I51*Assumptions!$J$39</f>
        <v/>
      </c>
      <c r="J54" s="5">
        <f>J52*(Assumptions!$H$39+Assumptions!$L$39)+J51*Assumptions!$J$39</f>
        <v/>
      </c>
      <c r="K54" s="5">
        <f>K52*(Assumptions!$H$39+Assumptions!$L$39)+K51*Assumptions!$J$39</f>
        <v/>
      </c>
      <c r="L54" s="5">
        <f>L52*(Assumptions!$H$39+Assumptions!$L$39)+L51*Assumptions!$J$39</f>
        <v/>
      </c>
      <c r="M54" s="5">
        <f>M52*(Assumptions!$H$39+Assumptions!$L$39)+M51*Assumptions!$J$39</f>
        <v/>
      </c>
      <c r="N54" s="5">
        <f>N52*(Assumptions!$H$39+Assumptions!$L$39)+N51*Assumptions!$J$39</f>
        <v/>
      </c>
      <c r="O54" s="5">
        <f>O52*(Assumptions!$H$39+Assumptions!$L$39)+O51*Assumptions!$J$39</f>
        <v/>
      </c>
      <c r="P54" s="5">
        <f>P52*(Assumptions!$H$39+Assumptions!$L$39)+P51*Assumptions!$J$39</f>
        <v/>
      </c>
      <c r="Q54" s="5">
        <f>Q52*(Assumptions!$H$39+Assumptions!$L$39)+Q51*Assumptions!$J$39</f>
        <v/>
      </c>
      <c r="R54" s="5">
        <f>R52*(Assumptions!$H$39+Assumptions!$L$39)+R51*Assumptions!$J$39</f>
        <v/>
      </c>
      <c r="S54" s="5">
        <f>S52*(Assumptions!$H$39+Assumptions!$L$39)+S51*Assumptions!$J$39</f>
        <v/>
      </c>
      <c r="T54" s="5">
        <f>T52*(Assumptions!$H$39+Assumptions!$L$39)+T51*Assumptions!$J$39</f>
        <v/>
      </c>
      <c r="U54" s="5">
        <f>U52*(Assumptions!$H$39+Assumptions!$L$39)+U51*Assumptions!$J$39</f>
        <v/>
      </c>
      <c r="V54" s="5">
        <f>V52*(Assumptions!$H$39+Assumptions!$L$39)+V51*Assumptions!$J$39</f>
        <v/>
      </c>
      <c r="W54" s="5">
        <f>W52*(Assumptions!$H$39+Assumptions!$L$39)+W51*Assumptions!$J$39</f>
        <v/>
      </c>
      <c r="X54" s="5">
        <f>X52*(Assumptions!$H$39+Assumptions!$L$39)+X51*Assumptions!$J$39</f>
        <v/>
      </c>
      <c r="Y54" s="5">
        <f>Y52*(Assumptions!$H$39+Assumptions!$L$39)+Y51*Assumptions!$J$39</f>
        <v/>
      </c>
      <c r="Z54" s="5">
        <f>Z52*(Assumptions!$H$39+Assumptions!$L$39)+Z51*Assumptions!$J$39</f>
        <v/>
      </c>
      <c r="AA54" s="5">
        <f>AA52*(Assumptions!$H$39+Assumptions!$L$39)+AA51*Assumptions!$J$39</f>
        <v/>
      </c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>
      <c r="A56" s="1">
        <f>Assumptions!B40&amp;" / "&amp;Assumptions!C40&amp;" / "&amp;Assumptions!D40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>
      <c r="A57" t="inlineStr">
        <is>
          <t>Units installed (cum.)</t>
        </is>
      </c>
      <c r="C57" s="5" t="n">
        <v>0</v>
      </c>
      <c r="D57" s="5">
        <f>IF(D$3&gt;=Assumptions!$M$40,D$4*Assumptions!$E$40*Assumptions!$F$40,0)</f>
        <v/>
      </c>
      <c r="E57" s="5">
        <f>IF(E$3&gt;=Assumptions!$M$40,E$4*Assumptions!$E$40*Assumptions!$F$40,0)</f>
        <v/>
      </c>
      <c r="F57" s="5">
        <f>IF(F$3&gt;=Assumptions!$M$40,F$4*Assumptions!$E$40*Assumptions!$F$40,0)</f>
        <v/>
      </c>
      <c r="G57" s="5">
        <f>IF(G$3&gt;=Assumptions!$M$40,G$4*Assumptions!$E$40*Assumptions!$F$40,0)</f>
        <v/>
      </c>
      <c r="H57" s="5">
        <f>IF(H$3&gt;=Assumptions!$M$40,H$4*Assumptions!$E$40*Assumptions!$F$40,0)</f>
        <v/>
      </c>
      <c r="I57" s="5">
        <f>IF(I$3&gt;=Assumptions!$M$40,I$4*Assumptions!$E$40*Assumptions!$F$40,0)</f>
        <v/>
      </c>
      <c r="J57" s="5">
        <f>IF(J$3&gt;=Assumptions!$M$40,J$4*Assumptions!$E$40*Assumptions!$F$40,0)</f>
        <v/>
      </c>
      <c r="K57" s="5">
        <f>IF(K$3&gt;=Assumptions!$M$40,K$4*Assumptions!$E$40*Assumptions!$F$40,0)</f>
        <v/>
      </c>
      <c r="L57" s="5">
        <f>IF(L$3&gt;=Assumptions!$M$40,L$4*Assumptions!$E$40*Assumptions!$F$40,0)</f>
        <v/>
      </c>
      <c r="M57" s="5">
        <f>IF(M$3&gt;=Assumptions!$M$40,M$4*Assumptions!$E$40*Assumptions!$F$40,0)</f>
        <v/>
      </c>
      <c r="N57" s="5">
        <f>IF(N$3&gt;=Assumptions!$M$40,N$4*Assumptions!$E$40*Assumptions!$F$40,0)</f>
        <v/>
      </c>
      <c r="O57" s="5">
        <f>IF(O$3&gt;=Assumptions!$M$40,O$4*Assumptions!$E$40*Assumptions!$F$40,0)</f>
        <v/>
      </c>
      <c r="P57" s="5">
        <f>IF(P$3&gt;=Assumptions!$M$40,P$4*Assumptions!$E$40*Assumptions!$F$40,0)</f>
        <v/>
      </c>
      <c r="Q57" s="5">
        <f>IF(Q$3&gt;=Assumptions!$M$40,Q$4*Assumptions!$E$40*Assumptions!$F$40,0)</f>
        <v/>
      </c>
      <c r="R57" s="5">
        <f>IF(R$3&gt;=Assumptions!$M$40,R$4*Assumptions!$E$40*Assumptions!$F$40,0)</f>
        <v/>
      </c>
      <c r="S57" s="5">
        <f>IF(S$3&gt;=Assumptions!$M$40,S$4*Assumptions!$E$40*Assumptions!$F$40,0)</f>
        <v/>
      </c>
      <c r="T57" s="5">
        <f>IF(T$3&gt;=Assumptions!$M$40,T$4*Assumptions!$E$40*Assumptions!$F$40,0)</f>
        <v/>
      </c>
      <c r="U57" s="5">
        <f>IF(U$3&gt;=Assumptions!$M$40,U$4*Assumptions!$E$40*Assumptions!$F$40,0)</f>
        <v/>
      </c>
      <c r="V57" s="5">
        <f>IF(V$3&gt;=Assumptions!$M$40,V$4*Assumptions!$E$40*Assumptions!$F$40,0)</f>
        <v/>
      </c>
      <c r="W57" s="5">
        <f>IF(W$3&gt;=Assumptions!$M$40,W$4*Assumptions!$E$40*Assumptions!$F$40,0)</f>
        <v/>
      </c>
      <c r="X57" s="5">
        <f>IF(X$3&gt;=Assumptions!$M$40,X$4*Assumptions!$E$40*Assumptions!$F$40,0)</f>
        <v/>
      </c>
      <c r="Y57" s="5">
        <f>IF(Y$3&gt;=Assumptions!$M$40,Y$4*Assumptions!$E$40*Assumptions!$F$40,0)</f>
        <v/>
      </c>
      <c r="Z57" s="5">
        <f>IF(Z$3&gt;=Assumptions!$M$40,Z$4*Assumptions!$E$40*Assumptions!$F$40,0)</f>
        <v/>
      </c>
      <c r="AA57" s="5">
        <f>IF(AA$3&gt;=Assumptions!$M$40,AA$4*Assumptions!$E$40*Assumptions!$F$40,0)</f>
        <v/>
      </c>
    </row>
    <row r="58">
      <c r="A58" t="inlineStr">
        <is>
          <t>New units</t>
        </is>
      </c>
      <c r="C58" s="5" t="n">
        <v>0</v>
      </c>
      <c r="D58" s="5">
        <f>D57-C57</f>
        <v/>
      </c>
      <c r="E58" s="5">
        <f>E57-D57</f>
        <v/>
      </c>
      <c r="F58" s="5">
        <f>F57-E57</f>
        <v/>
      </c>
      <c r="G58" s="5">
        <f>G57-F57</f>
        <v/>
      </c>
      <c r="H58" s="5">
        <f>H57-G57</f>
        <v/>
      </c>
      <c r="I58" s="5">
        <f>I57-H57</f>
        <v/>
      </c>
      <c r="J58" s="5">
        <f>J57-I57</f>
        <v/>
      </c>
      <c r="K58" s="5">
        <f>K57-J57</f>
        <v/>
      </c>
      <c r="L58" s="5">
        <f>L57-K57</f>
        <v/>
      </c>
      <c r="M58" s="5">
        <f>M57-L57</f>
        <v/>
      </c>
      <c r="N58" s="5">
        <f>N57-M57</f>
        <v/>
      </c>
      <c r="O58" s="5">
        <f>O57-N57</f>
        <v/>
      </c>
      <c r="P58" s="5">
        <f>P57-O57</f>
        <v/>
      </c>
      <c r="Q58" s="5">
        <f>Q57-P57</f>
        <v/>
      </c>
      <c r="R58" s="5">
        <f>R57-Q57</f>
        <v/>
      </c>
      <c r="S58" s="5">
        <f>S57-R57</f>
        <v/>
      </c>
      <c r="T58" s="5">
        <f>T57-S57</f>
        <v/>
      </c>
      <c r="U58" s="5">
        <f>U57-T57</f>
        <v/>
      </c>
      <c r="V58" s="5">
        <f>V57-U57</f>
        <v/>
      </c>
      <c r="W58" s="5">
        <f>W57-V57</f>
        <v/>
      </c>
      <c r="X58" s="5">
        <f>X57-W57</f>
        <v/>
      </c>
      <c r="Y58" s="5">
        <f>Y57-X57</f>
        <v/>
      </c>
      <c r="Z58" s="5">
        <f>Z57-Y57</f>
        <v/>
      </c>
      <c r="AA58" s="5">
        <f>AA57-Z57</f>
        <v/>
      </c>
    </row>
    <row r="59">
      <c r="A59" t="inlineStr">
        <is>
          <t>Revenue</t>
        </is>
      </c>
      <c r="C59" s="5" t="n">
        <v>0</v>
      </c>
      <c r="D59" s="5">
        <f>D58*(Assumptions!$G$40+Assumptions!$K$40)+D57*Assumptions!$I$40</f>
        <v/>
      </c>
      <c r="E59" s="5">
        <f>E58*(Assumptions!$G$40+Assumptions!$K$40)+E57*Assumptions!$I$40</f>
        <v/>
      </c>
      <c r="F59" s="5">
        <f>F58*(Assumptions!$G$40+Assumptions!$K$40)+F57*Assumptions!$I$40</f>
        <v/>
      </c>
      <c r="G59" s="5">
        <f>G58*(Assumptions!$G$40+Assumptions!$K$40)+G57*Assumptions!$I$40</f>
        <v/>
      </c>
      <c r="H59" s="5">
        <f>H58*(Assumptions!$G$40+Assumptions!$K$40)+H57*Assumptions!$I$40</f>
        <v/>
      </c>
      <c r="I59" s="5">
        <f>I58*(Assumptions!$G$40+Assumptions!$K$40)+I57*Assumptions!$I$40</f>
        <v/>
      </c>
      <c r="J59" s="5">
        <f>J58*(Assumptions!$G$40+Assumptions!$K$40)+J57*Assumptions!$I$40</f>
        <v/>
      </c>
      <c r="K59" s="5">
        <f>K58*(Assumptions!$G$40+Assumptions!$K$40)+K57*Assumptions!$I$40</f>
        <v/>
      </c>
      <c r="L59" s="5">
        <f>L58*(Assumptions!$G$40+Assumptions!$K$40)+L57*Assumptions!$I$40</f>
        <v/>
      </c>
      <c r="M59" s="5">
        <f>M58*(Assumptions!$G$40+Assumptions!$K$40)+M57*Assumptions!$I$40</f>
        <v/>
      </c>
      <c r="N59" s="5">
        <f>N58*(Assumptions!$G$40+Assumptions!$K$40)+N57*Assumptions!$I$40</f>
        <v/>
      </c>
      <c r="O59" s="5">
        <f>O58*(Assumptions!$G$40+Assumptions!$K$40)+O57*Assumptions!$I$40</f>
        <v/>
      </c>
      <c r="P59" s="5">
        <f>P58*(Assumptions!$G$40+Assumptions!$K$40)+P57*Assumptions!$I$40</f>
        <v/>
      </c>
      <c r="Q59" s="5">
        <f>Q58*(Assumptions!$G$40+Assumptions!$K$40)+Q57*Assumptions!$I$40</f>
        <v/>
      </c>
      <c r="R59" s="5">
        <f>R58*(Assumptions!$G$40+Assumptions!$K$40)+R57*Assumptions!$I$40</f>
        <v/>
      </c>
      <c r="S59" s="5">
        <f>S58*(Assumptions!$G$40+Assumptions!$K$40)+S57*Assumptions!$I$40</f>
        <v/>
      </c>
      <c r="T59" s="5">
        <f>T58*(Assumptions!$G$40+Assumptions!$K$40)+T57*Assumptions!$I$40</f>
        <v/>
      </c>
      <c r="U59" s="5">
        <f>U58*(Assumptions!$G$40+Assumptions!$K$40)+U57*Assumptions!$I$40</f>
        <v/>
      </c>
      <c r="V59" s="5">
        <f>V58*(Assumptions!$G$40+Assumptions!$K$40)+V57*Assumptions!$I$40</f>
        <v/>
      </c>
      <c r="W59" s="5">
        <f>W58*(Assumptions!$G$40+Assumptions!$K$40)+W57*Assumptions!$I$40</f>
        <v/>
      </c>
      <c r="X59" s="5">
        <f>X58*(Assumptions!$G$40+Assumptions!$K$40)+X57*Assumptions!$I$40</f>
        <v/>
      </c>
      <c r="Y59" s="5">
        <f>Y58*(Assumptions!$G$40+Assumptions!$K$40)+Y57*Assumptions!$I$40</f>
        <v/>
      </c>
      <c r="Z59" s="5">
        <f>Z58*(Assumptions!$G$40+Assumptions!$K$40)+Z57*Assumptions!$I$40</f>
        <v/>
      </c>
      <c r="AA59" s="5">
        <f>AA58*(Assumptions!$G$40+Assumptions!$K$40)+AA57*Assumptions!$I$40</f>
        <v/>
      </c>
    </row>
    <row r="60">
      <c r="A60" t="inlineStr">
        <is>
          <t>Direct cost</t>
        </is>
      </c>
      <c r="C60" s="5" t="n">
        <v>0</v>
      </c>
      <c r="D60" s="5">
        <f>D58*(Assumptions!$H$40+Assumptions!$L$40)+D57*Assumptions!$J$40</f>
        <v/>
      </c>
      <c r="E60" s="5">
        <f>E58*(Assumptions!$H$40+Assumptions!$L$40)+E57*Assumptions!$J$40</f>
        <v/>
      </c>
      <c r="F60" s="5">
        <f>F58*(Assumptions!$H$40+Assumptions!$L$40)+F57*Assumptions!$J$40</f>
        <v/>
      </c>
      <c r="G60" s="5">
        <f>G58*(Assumptions!$H$40+Assumptions!$L$40)+G57*Assumptions!$J$40</f>
        <v/>
      </c>
      <c r="H60" s="5">
        <f>H58*(Assumptions!$H$40+Assumptions!$L$40)+H57*Assumptions!$J$40</f>
        <v/>
      </c>
      <c r="I60" s="5">
        <f>I58*(Assumptions!$H$40+Assumptions!$L$40)+I57*Assumptions!$J$40</f>
        <v/>
      </c>
      <c r="J60" s="5">
        <f>J58*(Assumptions!$H$40+Assumptions!$L$40)+J57*Assumptions!$J$40</f>
        <v/>
      </c>
      <c r="K60" s="5">
        <f>K58*(Assumptions!$H$40+Assumptions!$L$40)+K57*Assumptions!$J$40</f>
        <v/>
      </c>
      <c r="L60" s="5">
        <f>L58*(Assumptions!$H$40+Assumptions!$L$40)+L57*Assumptions!$J$40</f>
        <v/>
      </c>
      <c r="M60" s="5">
        <f>M58*(Assumptions!$H$40+Assumptions!$L$40)+M57*Assumptions!$J$40</f>
        <v/>
      </c>
      <c r="N60" s="5">
        <f>N58*(Assumptions!$H$40+Assumptions!$L$40)+N57*Assumptions!$J$40</f>
        <v/>
      </c>
      <c r="O60" s="5">
        <f>O58*(Assumptions!$H$40+Assumptions!$L$40)+O57*Assumptions!$J$40</f>
        <v/>
      </c>
      <c r="P60" s="5">
        <f>P58*(Assumptions!$H$40+Assumptions!$L$40)+P57*Assumptions!$J$40</f>
        <v/>
      </c>
      <c r="Q60" s="5">
        <f>Q58*(Assumptions!$H$40+Assumptions!$L$40)+Q57*Assumptions!$J$40</f>
        <v/>
      </c>
      <c r="R60" s="5">
        <f>R58*(Assumptions!$H$40+Assumptions!$L$40)+R57*Assumptions!$J$40</f>
        <v/>
      </c>
      <c r="S60" s="5">
        <f>S58*(Assumptions!$H$40+Assumptions!$L$40)+S57*Assumptions!$J$40</f>
        <v/>
      </c>
      <c r="T60" s="5">
        <f>T58*(Assumptions!$H$40+Assumptions!$L$40)+T57*Assumptions!$J$40</f>
        <v/>
      </c>
      <c r="U60" s="5">
        <f>U58*(Assumptions!$H$40+Assumptions!$L$40)+U57*Assumptions!$J$40</f>
        <v/>
      </c>
      <c r="V60" s="5">
        <f>V58*(Assumptions!$H$40+Assumptions!$L$40)+V57*Assumptions!$J$40</f>
        <v/>
      </c>
      <c r="W60" s="5">
        <f>W58*(Assumptions!$H$40+Assumptions!$L$40)+W57*Assumptions!$J$40</f>
        <v/>
      </c>
      <c r="X60" s="5">
        <f>X58*(Assumptions!$H$40+Assumptions!$L$40)+X57*Assumptions!$J$40</f>
        <v/>
      </c>
      <c r="Y60" s="5">
        <f>Y58*(Assumptions!$H$40+Assumptions!$L$40)+Y57*Assumptions!$J$40</f>
        <v/>
      </c>
      <c r="Z60" s="5">
        <f>Z58*(Assumptions!$H$40+Assumptions!$L$40)+Z57*Assumptions!$J$40</f>
        <v/>
      </c>
      <c r="AA60" s="5">
        <f>AA58*(Assumptions!$H$40+Assumptions!$L$40)+AA57*Assumptions!$J$40</f>
        <v/>
      </c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>
      <c r="A62" s="1">
        <f>Assumptions!B41&amp;" / "&amp;Assumptions!C41&amp;" / "&amp;Assumptions!D41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>
      <c r="A63" t="inlineStr">
        <is>
          <t>Units installed (cum.)</t>
        </is>
      </c>
      <c r="C63" s="5" t="n">
        <v>0</v>
      </c>
      <c r="D63" s="5">
        <f>IF(D$3&gt;=Assumptions!$M$41,D$4*Assumptions!$E$41*Assumptions!$F$41,0)</f>
        <v/>
      </c>
      <c r="E63" s="5">
        <f>IF(E$3&gt;=Assumptions!$M$41,E$4*Assumptions!$E$41*Assumptions!$F$41,0)</f>
        <v/>
      </c>
      <c r="F63" s="5">
        <f>IF(F$3&gt;=Assumptions!$M$41,F$4*Assumptions!$E$41*Assumptions!$F$41,0)</f>
        <v/>
      </c>
      <c r="G63" s="5">
        <f>IF(G$3&gt;=Assumptions!$M$41,G$4*Assumptions!$E$41*Assumptions!$F$41,0)</f>
        <v/>
      </c>
      <c r="H63" s="5">
        <f>IF(H$3&gt;=Assumptions!$M$41,H$4*Assumptions!$E$41*Assumptions!$F$41,0)</f>
        <v/>
      </c>
      <c r="I63" s="5">
        <f>IF(I$3&gt;=Assumptions!$M$41,I$4*Assumptions!$E$41*Assumptions!$F$41,0)</f>
        <v/>
      </c>
      <c r="J63" s="5">
        <f>IF(J$3&gt;=Assumptions!$M$41,J$4*Assumptions!$E$41*Assumptions!$F$41,0)</f>
        <v/>
      </c>
      <c r="K63" s="5">
        <f>IF(K$3&gt;=Assumptions!$M$41,K$4*Assumptions!$E$41*Assumptions!$F$41,0)</f>
        <v/>
      </c>
      <c r="L63" s="5">
        <f>IF(L$3&gt;=Assumptions!$M$41,L$4*Assumptions!$E$41*Assumptions!$F$41,0)</f>
        <v/>
      </c>
      <c r="M63" s="5">
        <f>IF(M$3&gt;=Assumptions!$M$41,M$4*Assumptions!$E$41*Assumptions!$F$41,0)</f>
        <v/>
      </c>
      <c r="N63" s="5">
        <f>IF(N$3&gt;=Assumptions!$M$41,N$4*Assumptions!$E$41*Assumptions!$F$41,0)</f>
        <v/>
      </c>
      <c r="O63" s="5">
        <f>IF(O$3&gt;=Assumptions!$M$41,O$4*Assumptions!$E$41*Assumptions!$F$41,0)</f>
        <v/>
      </c>
      <c r="P63" s="5">
        <f>IF(P$3&gt;=Assumptions!$M$41,P$4*Assumptions!$E$41*Assumptions!$F$41,0)</f>
        <v/>
      </c>
      <c r="Q63" s="5">
        <f>IF(Q$3&gt;=Assumptions!$M$41,Q$4*Assumptions!$E$41*Assumptions!$F$41,0)</f>
        <v/>
      </c>
      <c r="R63" s="5">
        <f>IF(R$3&gt;=Assumptions!$M$41,R$4*Assumptions!$E$41*Assumptions!$F$41,0)</f>
        <v/>
      </c>
      <c r="S63" s="5">
        <f>IF(S$3&gt;=Assumptions!$M$41,S$4*Assumptions!$E$41*Assumptions!$F$41,0)</f>
        <v/>
      </c>
      <c r="T63" s="5">
        <f>IF(T$3&gt;=Assumptions!$M$41,T$4*Assumptions!$E$41*Assumptions!$F$41,0)</f>
        <v/>
      </c>
      <c r="U63" s="5">
        <f>IF(U$3&gt;=Assumptions!$M$41,U$4*Assumptions!$E$41*Assumptions!$F$41,0)</f>
        <v/>
      </c>
      <c r="V63" s="5">
        <f>IF(V$3&gt;=Assumptions!$M$41,V$4*Assumptions!$E$41*Assumptions!$F$41,0)</f>
        <v/>
      </c>
      <c r="W63" s="5">
        <f>IF(W$3&gt;=Assumptions!$M$41,W$4*Assumptions!$E$41*Assumptions!$F$41,0)</f>
        <v/>
      </c>
      <c r="X63" s="5">
        <f>IF(X$3&gt;=Assumptions!$M$41,X$4*Assumptions!$E$41*Assumptions!$F$41,0)</f>
        <v/>
      </c>
      <c r="Y63" s="5">
        <f>IF(Y$3&gt;=Assumptions!$M$41,Y$4*Assumptions!$E$41*Assumptions!$F$41,0)</f>
        <v/>
      </c>
      <c r="Z63" s="5">
        <f>IF(Z$3&gt;=Assumptions!$M$41,Z$4*Assumptions!$E$41*Assumptions!$F$41,0)</f>
        <v/>
      </c>
      <c r="AA63" s="5">
        <f>IF(AA$3&gt;=Assumptions!$M$41,AA$4*Assumptions!$E$41*Assumptions!$F$41,0)</f>
        <v/>
      </c>
    </row>
    <row r="64">
      <c r="A64" t="inlineStr">
        <is>
          <t>New units</t>
        </is>
      </c>
      <c r="C64" s="5" t="n">
        <v>0</v>
      </c>
      <c r="D64" s="5">
        <f>D63-C63</f>
        <v/>
      </c>
      <c r="E64" s="5">
        <f>E63-D63</f>
        <v/>
      </c>
      <c r="F64" s="5">
        <f>F63-E63</f>
        <v/>
      </c>
      <c r="G64" s="5">
        <f>G63-F63</f>
        <v/>
      </c>
      <c r="H64" s="5">
        <f>H63-G63</f>
        <v/>
      </c>
      <c r="I64" s="5">
        <f>I63-H63</f>
        <v/>
      </c>
      <c r="J64" s="5">
        <f>J63-I63</f>
        <v/>
      </c>
      <c r="K64" s="5">
        <f>K63-J63</f>
        <v/>
      </c>
      <c r="L64" s="5">
        <f>L63-K63</f>
        <v/>
      </c>
      <c r="M64" s="5">
        <f>M63-L63</f>
        <v/>
      </c>
      <c r="N64" s="5">
        <f>N63-M63</f>
        <v/>
      </c>
      <c r="O64" s="5">
        <f>O63-N63</f>
        <v/>
      </c>
      <c r="P64" s="5">
        <f>P63-O63</f>
        <v/>
      </c>
      <c r="Q64" s="5">
        <f>Q63-P63</f>
        <v/>
      </c>
      <c r="R64" s="5">
        <f>R63-Q63</f>
        <v/>
      </c>
      <c r="S64" s="5">
        <f>S63-R63</f>
        <v/>
      </c>
      <c r="T64" s="5">
        <f>T63-S63</f>
        <v/>
      </c>
      <c r="U64" s="5">
        <f>U63-T63</f>
        <v/>
      </c>
      <c r="V64" s="5">
        <f>V63-U63</f>
        <v/>
      </c>
      <c r="W64" s="5">
        <f>W63-V63</f>
        <v/>
      </c>
      <c r="X64" s="5">
        <f>X63-W63</f>
        <v/>
      </c>
      <c r="Y64" s="5">
        <f>Y63-X63</f>
        <v/>
      </c>
      <c r="Z64" s="5">
        <f>Z63-Y63</f>
        <v/>
      </c>
      <c r="AA64" s="5">
        <f>AA63-Z63</f>
        <v/>
      </c>
    </row>
    <row r="65">
      <c r="A65" t="inlineStr">
        <is>
          <t>Revenue</t>
        </is>
      </c>
      <c r="C65" s="5" t="n">
        <v>0</v>
      </c>
      <c r="D65" s="5">
        <f>D64*(Assumptions!$G$41+Assumptions!$K$41)+D63*Assumptions!$I$41</f>
        <v/>
      </c>
      <c r="E65" s="5">
        <f>E64*(Assumptions!$G$41+Assumptions!$K$41)+E63*Assumptions!$I$41</f>
        <v/>
      </c>
      <c r="F65" s="5">
        <f>F64*(Assumptions!$G$41+Assumptions!$K$41)+F63*Assumptions!$I$41</f>
        <v/>
      </c>
      <c r="G65" s="5">
        <f>G64*(Assumptions!$G$41+Assumptions!$K$41)+G63*Assumptions!$I$41</f>
        <v/>
      </c>
      <c r="H65" s="5">
        <f>H64*(Assumptions!$G$41+Assumptions!$K$41)+H63*Assumptions!$I$41</f>
        <v/>
      </c>
      <c r="I65" s="5">
        <f>I64*(Assumptions!$G$41+Assumptions!$K$41)+I63*Assumptions!$I$41</f>
        <v/>
      </c>
      <c r="J65" s="5">
        <f>J64*(Assumptions!$G$41+Assumptions!$K$41)+J63*Assumptions!$I$41</f>
        <v/>
      </c>
      <c r="K65" s="5">
        <f>K64*(Assumptions!$G$41+Assumptions!$K$41)+K63*Assumptions!$I$41</f>
        <v/>
      </c>
      <c r="L65" s="5">
        <f>L64*(Assumptions!$G$41+Assumptions!$K$41)+L63*Assumptions!$I$41</f>
        <v/>
      </c>
      <c r="M65" s="5">
        <f>M64*(Assumptions!$G$41+Assumptions!$K$41)+M63*Assumptions!$I$41</f>
        <v/>
      </c>
      <c r="N65" s="5">
        <f>N64*(Assumptions!$G$41+Assumptions!$K$41)+N63*Assumptions!$I$41</f>
        <v/>
      </c>
      <c r="O65" s="5">
        <f>O64*(Assumptions!$G$41+Assumptions!$K$41)+O63*Assumptions!$I$41</f>
        <v/>
      </c>
      <c r="P65" s="5">
        <f>P64*(Assumptions!$G$41+Assumptions!$K$41)+P63*Assumptions!$I$41</f>
        <v/>
      </c>
      <c r="Q65" s="5">
        <f>Q64*(Assumptions!$G$41+Assumptions!$K$41)+Q63*Assumptions!$I$41</f>
        <v/>
      </c>
      <c r="R65" s="5">
        <f>R64*(Assumptions!$G$41+Assumptions!$K$41)+R63*Assumptions!$I$41</f>
        <v/>
      </c>
      <c r="S65" s="5">
        <f>S64*(Assumptions!$G$41+Assumptions!$K$41)+S63*Assumptions!$I$41</f>
        <v/>
      </c>
      <c r="T65" s="5">
        <f>T64*(Assumptions!$G$41+Assumptions!$K$41)+T63*Assumptions!$I$41</f>
        <v/>
      </c>
      <c r="U65" s="5">
        <f>U64*(Assumptions!$G$41+Assumptions!$K$41)+U63*Assumptions!$I$41</f>
        <v/>
      </c>
      <c r="V65" s="5">
        <f>V64*(Assumptions!$G$41+Assumptions!$K$41)+V63*Assumptions!$I$41</f>
        <v/>
      </c>
      <c r="W65" s="5">
        <f>W64*(Assumptions!$G$41+Assumptions!$K$41)+W63*Assumptions!$I$41</f>
        <v/>
      </c>
      <c r="X65" s="5">
        <f>X64*(Assumptions!$G$41+Assumptions!$K$41)+X63*Assumptions!$I$41</f>
        <v/>
      </c>
      <c r="Y65" s="5">
        <f>Y64*(Assumptions!$G$41+Assumptions!$K$41)+Y63*Assumptions!$I$41</f>
        <v/>
      </c>
      <c r="Z65" s="5">
        <f>Z64*(Assumptions!$G$41+Assumptions!$K$41)+Z63*Assumptions!$I$41</f>
        <v/>
      </c>
      <c r="AA65" s="5">
        <f>AA64*(Assumptions!$G$41+Assumptions!$K$41)+AA63*Assumptions!$I$41</f>
        <v/>
      </c>
    </row>
    <row r="66">
      <c r="A66" t="inlineStr">
        <is>
          <t>Direct cost</t>
        </is>
      </c>
      <c r="C66" s="5" t="n">
        <v>0</v>
      </c>
      <c r="D66" s="5">
        <f>D64*(Assumptions!$H$41+Assumptions!$L$41)+D63*Assumptions!$J$41</f>
        <v/>
      </c>
      <c r="E66" s="5">
        <f>E64*(Assumptions!$H$41+Assumptions!$L$41)+E63*Assumptions!$J$41</f>
        <v/>
      </c>
      <c r="F66" s="5">
        <f>F64*(Assumptions!$H$41+Assumptions!$L$41)+F63*Assumptions!$J$41</f>
        <v/>
      </c>
      <c r="G66" s="5">
        <f>G64*(Assumptions!$H$41+Assumptions!$L$41)+G63*Assumptions!$J$41</f>
        <v/>
      </c>
      <c r="H66" s="5">
        <f>H64*(Assumptions!$H$41+Assumptions!$L$41)+H63*Assumptions!$J$41</f>
        <v/>
      </c>
      <c r="I66" s="5">
        <f>I64*(Assumptions!$H$41+Assumptions!$L$41)+I63*Assumptions!$J$41</f>
        <v/>
      </c>
      <c r="J66" s="5">
        <f>J64*(Assumptions!$H$41+Assumptions!$L$41)+J63*Assumptions!$J$41</f>
        <v/>
      </c>
      <c r="K66" s="5">
        <f>K64*(Assumptions!$H$41+Assumptions!$L$41)+K63*Assumptions!$J$41</f>
        <v/>
      </c>
      <c r="L66" s="5">
        <f>L64*(Assumptions!$H$41+Assumptions!$L$41)+L63*Assumptions!$J$41</f>
        <v/>
      </c>
      <c r="M66" s="5">
        <f>M64*(Assumptions!$H$41+Assumptions!$L$41)+M63*Assumptions!$J$41</f>
        <v/>
      </c>
      <c r="N66" s="5">
        <f>N64*(Assumptions!$H$41+Assumptions!$L$41)+N63*Assumptions!$J$41</f>
        <v/>
      </c>
      <c r="O66" s="5">
        <f>O64*(Assumptions!$H$41+Assumptions!$L$41)+O63*Assumptions!$J$41</f>
        <v/>
      </c>
      <c r="P66" s="5">
        <f>P64*(Assumptions!$H$41+Assumptions!$L$41)+P63*Assumptions!$J$41</f>
        <v/>
      </c>
      <c r="Q66" s="5">
        <f>Q64*(Assumptions!$H$41+Assumptions!$L$41)+Q63*Assumptions!$J$41</f>
        <v/>
      </c>
      <c r="R66" s="5">
        <f>R64*(Assumptions!$H$41+Assumptions!$L$41)+R63*Assumptions!$J$41</f>
        <v/>
      </c>
      <c r="S66" s="5">
        <f>S64*(Assumptions!$H$41+Assumptions!$L$41)+S63*Assumptions!$J$41</f>
        <v/>
      </c>
      <c r="T66" s="5">
        <f>T64*(Assumptions!$H$41+Assumptions!$L$41)+T63*Assumptions!$J$41</f>
        <v/>
      </c>
      <c r="U66" s="5">
        <f>U64*(Assumptions!$H$41+Assumptions!$L$41)+U63*Assumptions!$J$41</f>
        <v/>
      </c>
      <c r="V66" s="5">
        <f>V64*(Assumptions!$H$41+Assumptions!$L$41)+V63*Assumptions!$J$41</f>
        <v/>
      </c>
      <c r="W66" s="5">
        <f>W64*(Assumptions!$H$41+Assumptions!$L$41)+W63*Assumptions!$J$41</f>
        <v/>
      </c>
      <c r="X66" s="5">
        <f>X64*(Assumptions!$H$41+Assumptions!$L$41)+X63*Assumptions!$J$41</f>
        <v/>
      </c>
      <c r="Y66" s="5">
        <f>Y64*(Assumptions!$H$41+Assumptions!$L$41)+Y63*Assumptions!$J$41</f>
        <v/>
      </c>
      <c r="Z66" s="5">
        <f>Z64*(Assumptions!$H$41+Assumptions!$L$41)+Z63*Assumptions!$J$41</f>
        <v/>
      </c>
      <c r="AA66" s="5">
        <f>AA64*(Assumptions!$H$41+Assumptions!$L$41)+AA63*Assumptions!$J$41</f>
        <v/>
      </c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>
      <c r="A68" s="1" t="inlineStr">
        <is>
          <t>TOTALS / TOTALI / ИТОГО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>
      <c r="A69" s="1" t="inlineStr">
        <is>
          <t>Total revenue</t>
        </is>
      </c>
      <c r="C69" s="5">
        <f>C11+C17+C23+C29+C35+C41+C47+C53+C59+C65</f>
        <v/>
      </c>
      <c r="D69" s="5">
        <f>D11+D17+D23+D29+D35+D41+D47+D53+D59+D65</f>
        <v/>
      </c>
      <c r="E69" s="5">
        <f>E11+E17+E23+E29+E35+E41+E47+E53+E59+E65</f>
        <v/>
      </c>
      <c r="F69" s="5">
        <f>F11+F17+F23+F29+F35+F41+F47+F53+F59+F65</f>
        <v/>
      </c>
      <c r="G69" s="5">
        <f>G11+G17+G23+G29+G35+G41+G47+G53+G59+G65</f>
        <v/>
      </c>
      <c r="H69" s="5">
        <f>H11+H17+H23+H29+H35+H41+H47+H53+H59+H65</f>
        <v/>
      </c>
      <c r="I69" s="5">
        <f>I11+I17+I23+I29+I35+I41+I47+I53+I59+I65</f>
        <v/>
      </c>
      <c r="J69" s="5">
        <f>J11+J17+J23+J29+J35+J41+J47+J53+J59+J65</f>
        <v/>
      </c>
      <c r="K69" s="5">
        <f>K11+K17+K23+K29+K35+K41+K47+K53+K59+K65</f>
        <v/>
      </c>
      <c r="L69" s="5">
        <f>L11+L17+L23+L29+L35+L41+L47+L53+L59+L65</f>
        <v/>
      </c>
      <c r="M69" s="5">
        <f>M11+M17+M23+M29+M35+M41+M47+M53+M59+M65</f>
        <v/>
      </c>
      <c r="N69" s="5">
        <f>N11+N17+N23+N29+N35+N41+N47+N53+N59+N65</f>
        <v/>
      </c>
      <c r="O69" s="5">
        <f>O11+O17+O23+O29+O35+O41+O47+O53+O59+O65</f>
        <v/>
      </c>
      <c r="P69" s="5">
        <f>P11+P17+P23+P29+P35+P41+P47+P53+P59+P65</f>
        <v/>
      </c>
      <c r="Q69" s="5">
        <f>Q11+Q17+Q23+Q29+Q35+Q41+Q47+Q53+Q59+Q65</f>
        <v/>
      </c>
      <c r="R69" s="5">
        <f>R11+R17+R23+R29+R35+R41+R47+R53+R59+R65</f>
        <v/>
      </c>
      <c r="S69" s="5">
        <f>S11+S17+S23+S29+S35+S41+S47+S53+S59+S65</f>
        <v/>
      </c>
      <c r="T69" s="5">
        <f>T11+T17+T23+T29+T35+T41+T47+T53+T59+T65</f>
        <v/>
      </c>
      <c r="U69" s="5">
        <f>U11+U17+U23+U29+U35+U41+U47+U53+U59+U65</f>
        <v/>
      </c>
      <c r="V69" s="5">
        <f>V11+V17+V23+V29+V35+V41+V47+V53+V59+V65</f>
        <v/>
      </c>
      <c r="W69" s="5">
        <f>W11+W17+W23+W29+W35+W41+W47+W53+W59+W65</f>
        <v/>
      </c>
      <c r="X69" s="5">
        <f>X11+X17+X23+X29+X35+X41+X47+X53+X59+X65</f>
        <v/>
      </c>
      <c r="Y69" s="5">
        <f>Y11+Y17+Y23+Y29+Y35+Y41+Y47+Y53+Y59+Y65</f>
        <v/>
      </c>
      <c r="Z69" s="5">
        <f>Z11+Z17+Z23+Z29+Z35+Z41+Z47+Z53+Z59+Z65</f>
        <v/>
      </c>
      <c r="AA69" s="5">
        <f>AA11+AA17+AA23+AA29+AA35+AA41+AA47+AA53+AA59+AA65</f>
        <v/>
      </c>
    </row>
    <row r="70">
      <c r="A70" s="1" t="inlineStr">
        <is>
          <t>Total direct cost</t>
        </is>
      </c>
      <c r="C70" s="5">
        <f>C12+C18+C24+C30+C36+C42+C48+C54+C60+C66</f>
        <v/>
      </c>
      <c r="D70" s="5">
        <f>D12+D18+D24+D30+D36+D42+D48+D54+D60+D66</f>
        <v/>
      </c>
      <c r="E70" s="5">
        <f>E12+E18+E24+E30+E36+E42+E48+E54+E60+E66</f>
        <v/>
      </c>
      <c r="F70" s="5">
        <f>F12+F18+F24+F30+F36+F42+F48+F54+F60+F66</f>
        <v/>
      </c>
      <c r="G70" s="5">
        <f>G12+G18+G24+G30+G36+G42+G48+G54+G60+G66</f>
        <v/>
      </c>
      <c r="H70" s="5">
        <f>H12+H18+H24+H30+H36+H42+H48+H54+H60+H66</f>
        <v/>
      </c>
      <c r="I70" s="5">
        <f>I12+I18+I24+I30+I36+I42+I48+I54+I60+I66</f>
        <v/>
      </c>
      <c r="J70" s="5">
        <f>J12+J18+J24+J30+J36+J42+J48+J54+J60+J66</f>
        <v/>
      </c>
      <c r="K70" s="5">
        <f>K12+K18+K24+K30+K36+K42+K48+K54+K60+K66</f>
        <v/>
      </c>
      <c r="L70" s="5">
        <f>L12+L18+L24+L30+L36+L42+L48+L54+L60+L66</f>
        <v/>
      </c>
      <c r="M70" s="5">
        <f>M12+M18+M24+M30+M36+M42+M48+M54+M60+M66</f>
        <v/>
      </c>
      <c r="N70" s="5">
        <f>N12+N18+N24+N30+N36+N42+N48+N54+N60+N66</f>
        <v/>
      </c>
      <c r="O70" s="5">
        <f>O12+O18+O24+O30+O36+O42+O48+O54+O60+O66</f>
        <v/>
      </c>
      <c r="P70" s="5">
        <f>P12+P18+P24+P30+P36+P42+P48+P54+P60+P66</f>
        <v/>
      </c>
      <c r="Q70" s="5">
        <f>Q12+Q18+Q24+Q30+Q36+Q42+Q48+Q54+Q60+Q66</f>
        <v/>
      </c>
      <c r="R70" s="5">
        <f>R12+R18+R24+R30+R36+R42+R48+R54+R60+R66</f>
        <v/>
      </c>
      <c r="S70" s="5">
        <f>S12+S18+S24+S30+S36+S42+S48+S54+S60+S66</f>
        <v/>
      </c>
      <c r="T70" s="5">
        <f>T12+T18+T24+T30+T36+T42+T48+T54+T60+T66</f>
        <v/>
      </c>
      <c r="U70" s="5">
        <f>U12+U18+U24+U30+U36+U42+U48+U54+U60+U66</f>
        <v/>
      </c>
      <c r="V70" s="5">
        <f>V12+V18+V24+V30+V36+V42+V48+V54+V60+V66</f>
        <v/>
      </c>
      <c r="W70" s="5">
        <f>W12+W18+W24+W30+W36+W42+W48+W54+W60+W66</f>
        <v/>
      </c>
      <c r="X70" s="5">
        <f>X12+X18+X24+X30+X36+X42+X48+X54+X60+X66</f>
        <v/>
      </c>
      <c r="Y70" s="5">
        <f>Y12+Y18+Y24+Y30+Y36+Y42+Y48+Y54+Y60+Y66</f>
        <v/>
      </c>
      <c r="Z70" s="5">
        <f>Z12+Z18+Z24+Z30+Z36+Z42+Z48+Z54+Z60+Z66</f>
        <v/>
      </c>
      <c r="AA70" s="5">
        <f>AA12+AA18+AA24+AA30+AA36+AA42+AA48+AA54+AA60+AA66</f>
        <v/>
      </c>
    </row>
    <row r="71">
      <c r="A71" s="1" t="inlineStr">
        <is>
          <t>Gross profit</t>
        </is>
      </c>
      <c r="C71" s="5">
        <f>C69-C70</f>
        <v/>
      </c>
      <c r="D71" s="5">
        <f>D69-D70</f>
        <v/>
      </c>
      <c r="E71" s="5">
        <f>E69-E70</f>
        <v/>
      </c>
      <c r="F71" s="5">
        <f>F69-F70</f>
        <v/>
      </c>
      <c r="G71" s="5">
        <f>G69-G70</f>
        <v/>
      </c>
      <c r="H71" s="5">
        <f>H69-H70</f>
        <v/>
      </c>
      <c r="I71" s="5">
        <f>I69-I70</f>
        <v/>
      </c>
      <c r="J71" s="5">
        <f>J69-J70</f>
        <v/>
      </c>
      <c r="K71" s="5">
        <f>K69-K70</f>
        <v/>
      </c>
      <c r="L71" s="5">
        <f>L69-L70</f>
        <v/>
      </c>
      <c r="M71" s="5">
        <f>M69-M70</f>
        <v/>
      </c>
      <c r="N71" s="5">
        <f>N69-N70</f>
        <v/>
      </c>
      <c r="O71" s="5">
        <f>O69-O70</f>
        <v/>
      </c>
      <c r="P71" s="5">
        <f>P69-P70</f>
        <v/>
      </c>
      <c r="Q71" s="5">
        <f>Q69-Q70</f>
        <v/>
      </c>
      <c r="R71" s="5">
        <f>R69-R70</f>
        <v/>
      </c>
      <c r="S71" s="5">
        <f>S69-S70</f>
        <v/>
      </c>
      <c r="T71" s="5">
        <f>T69-T70</f>
        <v/>
      </c>
      <c r="U71" s="5">
        <f>U69-U70</f>
        <v/>
      </c>
      <c r="V71" s="5">
        <f>V69-V70</f>
        <v/>
      </c>
      <c r="W71" s="5">
        <f>W69-W70</f>
        <v/>
      </c>
      <c r="X71" s="5">
        <f>X69-X70</f>
        <v/>
      </c>
      <c r="Y71" s="5">
        <f>Y69-Y70</f>
        <v/>
      </c>
      <c r="Z71" s="5">
        <f>Z69-Z70</f>
        <v/>
      </c>
      <c r="AA71" s="5">
        <f>AA69-AA70</f>
        <v/>
      </c>
    </row>
    <row r="72">
      <c r="A72" s="1" t="inlineStr">
        <is>
          <t>Gross margin %</t>
        </is>
      </c>
      <c r="C72" s="8">
        <f>IF(C69=0,0,C71/C69)</f>
        <v/>
      </c>
      <c r="D72" s="8">
        <f>IF(D69=0,0,D71/D69)</f>
        <v/>
      </c>
      <c r="E72" s="8">
        <f>IF(E69=0,0,E71/E69)</f>
        <v/>
      </c>
      <c r="F72" s="8">
        <f>IF(F69=0,0,F71/F69)</f>
        <v/>
      </c>
      <c r="G72" s="8">
        <f>IF(G69=0,0,G71/G69)</f>
        <v/>
      </c>
      <c r="H72" s="8">
        <f>IF(H69=0,0,H71/H69)</f>
        <v/>
      </c>
      <c r="I72" s="8">
        <f>IF(I69=0,0,I71/I69)</f>
        <v/>
      </c>
      <c r="J72" s="8">
        <f>IF(J69=0,0,J71/J69)</f>
        <v/>
      </c>
      <c r="K72" s="8">
        <f>IF(K69=0,0,K71/K69)</f>
        <v/>
      </c>
      <c r="L72" s="8">
        <f>IF(L69=0,0,L71/L69)</f>
        <v/>
      </c>
      <c r="M72" s="8">
        <f>IF(M69=0,0,M71/M69)</f>
        <v/>
      </c>
      <c r="N72" s="8">
        <f>IF(N69=0,0,N71/N69)</f>
        <v/>
      </c>
      <c r="O72" s="8">
        <f>IF(O69=0,0,O71/O69)</f>
        <v/>
      </c>
      <c r="P72" s="8">
        <f>IF(P69=0,0,P71/P69)</f>
        <v/>
      </c>
      <c r="Q72" s="8">
        <f>IF(Q69=0,0,Q71/Q69)</f>
        <v/>
      </c>
      <c r="R72" s="8">
        <f>IF(R69=0,0,R71/R69)</f>
        <v/>
      </c>
      <c r="S72" s="8">
        <f>IF(S69=0,0,S71/S69)</f>
        <v/>
      </c>
      <c r="T72" s="8">
        <f>IF(T69=0,0,T71/T69)</f>
        <v/>
      </c>
      <c r="U72" s="8">
        <f>IF(U69=0,0,U71/U69)</f>
        <v/>
      </c>
      <c r="V72" s="8">
        <f>IF(V69=0,0,V71/V69)</f>
        <v/>
      </c>
      <c r="W72" s="8">
        <f>IF(W69=0,0,W71/W69)</f>
        <v/>
      </c>
      <c r="X72" s="8">
        <f>IF(X69=0,0,X71/X69)</f>
        <v/>
      </c>
      <c r="Y72" s="8">
        <f>IF(Y69=0,0,Y71/Y69)</f>
        <v/>
      </c>
      <c r="Z72" s="8">
        <f>IF(Z69=0,0,Z71/Z69)</f>
        <v/>
      </c>
      <c r="AA72" s="8">
        <f>IF(AA69=0,0,AA71/AA69)</f>
        <v/>
      </c>
    </row>
    <row r="73">
      <c r="A73" s="1" t="inlineStr">
        <is>
          <t>Fixed opex</t>
        </is>
      </c>
      <c r="C73" s="5" t="n">
        <v>0</v>
      </c>
      <c r="D73" s="5">
        <f>Assumptions!$B$20*Assumptions!$B$11</f>
        <v/>
      </c>
      <c r="E73" s="5">
        <f>Assumptions!$B$20*Assumptions!$B$11</f>
        <v/>
      </c>
      <c r="F73" s="5">
        <f>Assumptions!$B$20*Assumptions!$B$11</f>
        <v/>
      </c>
      <c r="G73" s="5">
        <f>Assumptions!$B$20*Assumptions!$B$11</f>
        <v/>
      </c>
      <c r="H73" s="5">
        <f>Assumptions!$B$20*Assumptions!$B$11</f>
        <v/>
      </c>
      <c r="I73" s="5">
        <f>Assumptions!$B$20*Assumptions!$B$11</f>
        <v/>
      </c>
      <c r="J73" s="5">
        <f>Assumptions!$B$20*Assumptions!$B$11</f>
        <v/>
      </c>
      <c r="K73" s="5">
        <f>Assumptions!$B$20*Assumptions!$B$11</f>
        <v/>
      </c>
      <c r="L73" s="5">
        <f>Assumptions!$B$20*Assumptions!$B$11</f>
        <v/>
      </c>
      <c r="M73" s="5">
        <f>Assumptions!$B$20*Assumptions!$B$11</f>
        <v/>
      </c>
      <c r="N73" s="5">
        <f>Assumptions!$B$20*Assumptions!$B$11</f>
        <v/>
      </c>
      <c r="O73" s="5">
        <f>Assumptions!$B$20*Assumptions!$B$11</f>
        <v/>
      </c>
      <c r="P73" s="5">
        <f>Assumptions!$B$20*Assumptions!$B$11</f>
        <v/>
      </c>
      <c r="Q73" s="5">
        <f>Assumptions!$B$20*Assumptions!$B$11</f>
        <v/>
      </c>
      <c r="R73" s="5">
        <f>Assumptions!$B$20*Assumptions!$B$11</f>
        <v/>
      </c>
      <c r="S73" s="5">
        <f>Assumptions!$B$20*Assumptions!$B$11</f>
        <v/>
      </c>
      <c r="T73" s="5">
        <f>Assumptions!$B$20*Assumptions!$B$11</f>
        <v/>
      </c>
      <c r="U73" s="5">
        <f>Assumptions!$B$20*Assumptions!$B$11</f>
        <v/>
      </c>
      <c r="V73" s="5">
        <f>Assumptions!$B$20*Assumptions!$B$11</f>
        <v/>
      </c>
      <c r="W73" s="5">
        <f>Assumptions!$B$20*Assumptions!$B$11</f>
        <v/>
      </c>
      <c r="X73" s="5">
        <f>Assumptions!$B$20*Assumptions!$B$11</f>
        <v/>
      </c>
      <c r="Y73" s="5">
        <f>Assumptions!$B$20*Assumptions!$B$11</f>
        <v/>
      </c>
      <c r="Z73" s="5">
        <f>Assumptions!$B$20*Assumptions!$B$11</f>
        <v/>
      </c>
      <c r="AA73" s="5">
        <f>Assumptions!$B$20*Assumptions!$B$11</f>
        <v/>
      </c>
    </row>
    <row r="74">
      <c r="A74" s="1" t="inlineStr">
        <is>
          <t>EBITDA</t>
        </is>
      </c>
      <c r="C74" s="5">
        <f>C71-C73</f>
        <v/>
      </c>
      <c r="D74" s="5">
        <f>D71-D73</f>
        <v/>
      </c>
      <c r="E74" s="5">
        <f>E71-E73</f>
        <v/>
      </c>
      <c r="F74" s="5">
        <f>F71-F73</f>
        <v/>
      </c>
      <c r="G74" s="5">
        <f>G71-G73</f>
        <v/>
      </c>
      <c r="H74" s="5">
        <f>H71-H73</f>
        <v/>
      </c>
      <c r="I74" s="5">
        <f>I71-I73</f>
        <v/>
      </c>
      <c r="J74" s="5">
        <f>J71-J73</f>
        <v/>
      </c>
      <c r="K74" s="5">
        <f>K71-K73</f>
        <v/>
      </c>
      <c r="L74" s="5">
        <f>L71-L73</f>
        <v/>
      </c>
      <c r="M74" s="5">
        <f>M71-M73</f>
        <v/>
      </c>
      <c r="N74" s="5">
        <f>N71-N73</f>
        <v/>
      </c>
      <c r="O74" s="5">
        <f>O71-O73</f>
        <v/>
      </c>
      <c r="P74" s="5">
        <f>P71-P73</f>
        <v/>
      </c>
      <c r="Q74" s="5">
        <f>Q71-Q73</f>
        <v/>
      </c>
      <c r="R74" s="5">
        <f>R71-R73</f>
        <v/>
      </c>
      <c r="S74" s="5">
        <f>S71-S73</f>
        <v/>
      </c>
      <c r="T74" s="5">
        <f>T71-T73</f>
        <v/>
      </c>
      <c r="U74" s="5">
        <f>U71-U73</f>
        <v/>
      </c>
      <c r="V74" s="5">
        <f>V71-V73</f>
        <v/>
      </c>
      <c r="W74" s="5">
        <f>W71-W73</f>
        <v/>
      </c>
      <c r="X74" s="5">
        <f>X71-X73</f>
        <v/>
      </c>
      <c r="Y74" s="5">
        <f>Y71-Y73</f>
        <v/>
      </c>
      <c r="Z74" s="5">
        <f>Z71-Z73</f>
        <v/>
      </c>
      <c r="AA74" s="5">
        <f>AA71-AA73</f>
        <v/>
      </c>
    </row>
    <row r="75">
      <c r="A75" s="1" t="inlineStr">
        <is>
          <t>Tax (simplified)</t>
        </is>
      </c>
      <c r="C75" s="5">
        <f>MAX(0,C74)*Assumptions!$B$12</f>
        <v/>
      </c>
      <c r="D75" s="5">
        <f>MAX(0,D74)*Assumptions!$B$12</f>
        <v/>
      </c>
      <c r="E75" s="5">
        <f>MAX(0,E74)*Assumptions!$B$12</f>
        <v/>
      </c>
      <c r="F75" s="5">
        <f>MAX(0,F74)*Assumptions!$B$12</f>
        <v/>
      </c>
      <c r="G75" s="5">
        <f>MAX(0,G74)*Assumptions!$B$12</f>
        <v/>
      </c>
      <c r="H75" s="5">
        <f>MAX(0,H74)*Assumptions!$B$12</f>
        <v/>
      </c>
      <c r="I75" s="5">
        <f>MAX(0,I74)*Assumptions!$B$12</f>
        <v/>
      </c>
      <c r="J75" s="5">
        <f>MAX(0,J74)*Assumptions!$B$12</f>
        <v/>
      </c>
      <c r="K75" s="5">
        <f>MAX(0,K74)*Assumptions!$B$12</f>
        <v/>
      </c>
      <c r="L75" s="5">
        <f>MAX(0,L74)*Assumptions!$B$12</f>
        <v/>
      </c>
      <c r="M75" s="5">
        <f>MAX(0,M74)*Assumptions!$B$12</f>
        <v/>
      </c>
      <c r="N75" s="5">
        <f>MAX(0,N74)*Assumptions!$B$12</f>
        <v/>
      </c>
      <c r="O75" s="5">
        <f>MAX(0,O74)*Assumptions!$B$12</f>
        <v/>
      </c>
      <c r="P75" s="5">
        <f>MAX(0,P74)*Assumptions!$B$12</f>
        <v/>
      </c>
      <c r="Q75" s="5">
        <f>MAX(0,Q74)*Assumptions!$B$12</f>
        <v/>
      </c>
      <c r="R75" s="5">
        <f>MAX(0,R74)*Assumptions!$B$12</f>
        <v/>
      </c>
      <c r="S75" s="5">
        <f>MAX(0,S74)*Assumptions!$B$12</f>
        <v/>
      </c>
      <c r="T75" s="5">
        <f>MAX(0,T74)*Assumptions!$B$12</f>
        <v/>
      </c>
      <c r="U75" s="5">
        <f>MAX(0,U74)*Assumptions!$B$12</f>
        <v/>
      </c>
      <c r="V75" s="5">
        <f>MAX(0,V74)*Assumptions!$B$12</f>
        <v/>
      </c>
      <c r="W75" s="5">
        <f>MAX(0,W74)*Assumptions!$B$12</f>
        <v/>
      </c>
      <c r="X75" s="5">
        <f>MAX(0,X74)*Assumptions!$B$12</f>
        <v/>
      </c>
      <c r="Y75" s="5">
        <f>MAX(0,Y74)*Assumptions!$B$12</f>
        <v/>
      </c>
      <c r="Z75" s="5">
        <f>MAX(0,Z74)*Assumptions!$B$12</f>
        <v/>
      </c>
      <c r="AA75" s="5">
        <f>MAX(0,AA74)*Assumptions!$B$12</f>
        <v/>
      </c>
    </row>
    <row r="76">
      <c r="A76" s="1" t="inlineStr">
        <is>
          <t>Net income</t>
        </is>
      </c>
      <c r="C76" s="5">
        <f>C74-C75</f>
        <v/>
      </c>
      <c r="D76" s="5">
        <f>D74-D75</f>
        <v/>
      </c>
      <c r="E76" s="5">
        <f>E74-E75</f>
        <v/>
      </c>
      <c r="F76" s="5">
        <f>F74-F75</f>
        <v/>
      </c>
      <c r="G76" s="5">
        <f>G74-G75</f>
        <v/>
      </c>
      <c r="H76" s="5">
        <f>H74-H75</f>
        <v/>
      </c>
      <c r="I76" s="5">
        <f>I74-I75</f>
        <v/>
      </c>
      <c r="J76" s="5">
        <f>J74-J75</f>
        <v/>
      </c>
      <c r="K76" s="5">
        <f>K74-K75</f>
        <v/>
      </c>
      <c r="L76" s="5">
        <f>L74-L75</f>
        <v/>
      </c>
      <c r="M76" s="5">
        <f>M74-M75</f>
        <v/>
      </c>
      <c r="N76" s="5">
        <f>N74-N75</f>
        <v/>
      </c>
      <c r="O76" s="5">
        <f>O74-O75</f>
        <v/>
      </c>
      <c r="P76" s="5">
        <f>P74-P75</f>
        <v/>
      </c>
      <c r="Q76" s="5">
        <f>Q74-Q75</f>
        <v/>
      </c>
      <c r="R76" s="5">
        <f>R74-R75</f>
        <v/>
      </c>
      <c r="S76" s="5">
        <f>S74-S75</f>
        <v/>
      </c>
      <c r="T76" s="5">
        <f>T74-T75</f>
        <v/>
      </c>
      <c r="U76" s="5">
        <f>U74-U75</f>
        <v/>
      </c>
      <c r="V76" s="5">
        <f>V74-V75</f>
        <v/>
      </c>
      <c r="W76" s="5">
        <f>W74-W75</f>
        <v/>
      </c>
      <c r="X76" s="5">
        <f>X74-X75</f>
        <v/>
      </c>
      <c r="Y76" s="5">
        <f>Y74-Y75</f>
        <v/>
      </c>
      <c r="Z76" s="5">
        <f>Z74-Z75</f>
        <v/>
      </c>
      <c r="AA76" s="5">
        <f>AA74-AA75</f>
        <v/>
      </c>
    </row>
    <row r="77">
      <c r="A77" s="1" t="inlineStr">
        <is>
          <t>Cash in (collections, 1-month lag)</t>
        </is>
      </c>
      <c r="C77" s="5" t="n">
        <v>0</v>
      </c>
      <c r="D77" s="5">
        <f>C69</f>
        <v/>
      </c>
      <c r="E77" s="5">
        <f>D69</f>
        <v/>
      </c>
      <c r="F77" s="5">
        <f>E69</f>
        <v/>
      </c>
      <c r="G77" s="5">
        <f>F69</f>
        <v/>
      </c>
      <c r="H77" s="5">
        <f>G69</f>
        <v/>
      </c>
      <c r="I77" s="5">
        <f>H69</f>
        <v/>
      </c>
      <c r="J77" s="5">
        <f>I69</f>
        <v/>
      </c>
      <c r="K77" s="5">
        <f>J69</f>
        <v/>
      </c>
      <c r="L77" s="5">
        <f>K69</f>
        <v/>
      </c>
      <c r="M77" s="5">
        <f>L69</f>
        <v/>
      </c>
      <c r="N77" s="5">
        <f>M69</f>
        <v/>
      </c>
      <c r="O77" s="5">
        <f>N69</f>
        <v/>
      </c>
      <c r="P77" s="5">
        <f>O69</f>
        <v/>
      </c>
      <c r="Q77" s="5">
        <f>P69</f>
        <v/>
      </c>
      <c r="R77" s="5">
        <f>Q69</f>
        <v/>
      </c>
      <c r="S77" s="5">
        <f>R69</f>
        <v/>
      </c>
      <c r="T77" s="5">
        <f>S69</f>
        <v/>
      </c>
      <c r="U77" s="5">
        <f>T69</f>
        <v/>
      </c>
      <c r="V77" s="5">
        <f>U69</f>
        <v/>
      </c>
      <c r="W77" s="5">
        <f>V69</f>
        <v/>
      </c>
      <c r="X77" s="5">
        <f>W69</f>
        <v/>
      </c>
      <c r="Y77" s="5">
        <f>X69</f>
        <v/>
      </c>
      <c r="Z77" s="5">
        <f>Y69</f>
        <v/>
      </c>
      <c r="AA77" s="5">
        <f>Z69</f>
        <v/>
      </c>
    </row>
    <row r="78">
      <c r="A78" s="1" t="inlineStr">
        <is>
          <t>Cash out: direct cost</t>
        </is>
      </c>
      <c r="C78" s="5">
        <f>C70</f>
        <v/>
      </c>
      <c r="D78" s="5">
        <f>D70</f>
        <v/>
      </c>
      <c r="E78" s="5">
        <f>E70</f>
        <v/>
      </c>
      <c r="F78" s="5">
        <f>F70</f>
        <v/>
      </c>
      <c r="G78" s="5">
        <f>G70</f>
        <v/>
      </c>
      <c r="H78" s="5">
        <f>H70</f>
        <v/>
      </c>
      <c r="I78" s="5">
        <f>I70</f>
        <v/>
      </c>
      <c r="J78" s="5">
        <f>J70</f>
        <v/>
      </c>
      <c r="K78" s="5">
        <f>K70</f>
        <v/>
      </c>
      <c r="L78" s="5">
        <f>L70</f>
        <v/>
      </c>
      <c r="M78" s="5">
        <f>M70</f>
        <v/>
      </c>
      <c r="N78" s="5">
        <f>N70</f>
        <v/>
      </c>
      <c r="O78" s="5">
        <f>O70</f>
        <v/>
      </c>
      <c r="P78" s="5">
        <f>P70</f>
        <v/>
      </c>
      <c r="Q78" s="5">
        <f>Q70</f>
        <v/>
      </c>
      <c r="R78" s="5">
        <f>R70</f>
        <v/>
      </c>
      <c r="S78" s="5">
        <f>S70</f>
        <v/>
      </c>
      <c r="T78" s="5">
        <f>T70</f>
        <v/>
      </c>
      <c r="U78" s="5">
        <f>U70</f>
        <v/>
      </c>
      <c r="V78" s="5">
        <f>V70</f>
        <v/>
      </c>
      <c r="W78" s="5">
        <f>W70</f>
        <v/>
      </c>
      <c r="X78" s="5">
        <f>X70</f>
        <v/>
      </c>
      <c r="Y78" s="5">
        <f>Y70</f>
        <v/>
      </c>
      <c r="Z78" s="5">
        <f>Z70</f>
        <v/>
      </c>
      <c r="AA78" s="5">
        <f>AA70</f>
        <v/>
      </c>
    </row>
    <row r="79">
      <c r="A79" s="1" t="inlineStr">
        <is>
          <t>Cash out: opex</t>
        </is>
      </c>
      <c r="C79" s="5">
        <f>C73</f>
        <v/>
      </c>
      <c r="D79" s="5">
        <f>D73</f>
        <v/>
      </c>
      <c r="E79" s="5">
        <f>E73</f>
        <v/>
      </c>
      <c r="F79" s="5">
        <f>F73</f>
        <v/>
      </c>
      <c r="G79" s="5">
        <f>G73</f>
        <v/>
      </c>
      <c r="H79" s="5">
        <f>H73</f>
        <v/>
      </c>
      <c r="I79" s="5">
        <f>I73</f>
        <v/>
      </c>
      <c r="J79" s="5">
        <f>J73</f>
        <v/>
      </c>
      <c r="K79" s="5">
        <f>K73</f>
        <v/>
      </c>
      <c r="L79" s="5">
        <f>L73</f>
        <v/>
      </c>
      <c r="M79" s="5">
        <f>M73</f>
        <v/>
      </c>
      <c r="N79" s="5">
        <f>N73</f>
        <v/>
      </c>
      <c r="O79" s="5">
        <f>O73</f>
        <v/>
      </c>
      <c r="P79" s="5">
        <f>P73</f>
        <v/>
      </c>
      <c r="Q79" s="5">
        <f>Q73</f>
        <v/>
      </c>
      <c r="R79" s="5">
        <f>R73</f>
        <v/>
      </c>
      <c r="S79" s="5">
        <f>S73</f>
        <v/>
      </c>
      <c r="T79" s="5">
        <f>T73</f>
        <v/>
      </c>
      <c r="U79" s="5">
        <f>U73</f>
        <v/>
      </c>
      <c r="V79" s="5">
        <f>V73</f>
        <v/>
      </c>
      <c r="W79" s="5">
        <f>W73</f>
        <v/>
      </c>
      <c r="X79" s="5">
        <f>X73</f>
        <v/>
      </c>
      <c r="Y79" s="5">
        <f>Y73</f>
        <v/>
      </c>
      <c r="Z79" s="5">
        <f>Z73</f>
        <v/>
      </c>
      <c r="AA79" s="5">
        <f>AA73</f>
        <v/>
      </c>
    </row>
    <row r="80">
      <c r="A80" s="1" t="inlineStr">
        <is>
          <t>Cash out: tax</t>
        </is>
      </c>
      <c r="C80" s="5">
        <f>C75</f>
        <v/>
      </c>
      <c r="D80" s="5">
        <f>D75</f>
        <v/>
      </c>
      <c r="E80" s="5">
        <f>E75</f>
        <v/>
      </c>
      <c r="F80" s="5">
        <f>F75</f>
        <v/>
      </c>
      <c r="G80" s="5">
        <f>G75</f>
        <v/>
      </c>
      <c r="H80" s="5">
        <f>H75</f>
        <v/>
      </c>
      <c r="I80" s="5">
        <f>I75</f>
        <v/>
      </c>
      <c r="J80" s="5">
        <f>J75</f>
        <v/>
      </c>
      <c r="K80" s="5">
        <f>K75</f>
        <v/>
      </c>
      <c r="L80" s="5">
        <f>L75</f>
        <v/>
      </c>
      <c r="M80" s="5">
        <f>M75</f>
        <v/>
      </c>
      <c r="N80" s="5">
        <f>N75</f>
        <v/>
      </c>
      <c r="O80" s="5">
        <f>O75</f>
        <v/>
      </c>
      <c r="P80" s="5">
        <f>P75</f>
        <v/>
      </c>
      <c r="Q80" s="5">
        <f>Q75</f>
        <v/>
      </c>
      <c r="R80" s="5">
        <f>R75</f>
        <v/>
      </c>
      <c r="S80" s="5">
        <f>S75</f>
        <v/>
      </c>
      <c r="T80" s="5">
        <f>T75</f>
        <v/>
      </c>
      <c r="U80" s="5">
        <f>U75</f>
        <v/>
      </c>
      <c r="V80" s="5">
        <f>V75</f>
        <v/>
      </c>
      <c r="W80" s="5">
        <f>W75</f>
        <v/>
      </c>
      <c r="X80" s="5">
        <f>X75</f>
        <v/>
      </c>
      <c r="Y80" s="5">
        <f>Y75</f>
        <v/>
      </c>
      <c r="Z80" s="5">
        <f>Z75</f>
        <v/>
      </c>
      <c r="AA80" s="5">
        <f>AA75</f>
        <v/>
      </c>
    </row>
    <row r="81">
      <c r="A81" s="1" t="inlineStr">
        <is>
          <t>Cash out: pre-launch</t>
        </is>
      </c>
      <c r="C81" s="5">
        <f>Assumptions!$B$28</f>
        <v/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</row>
    <row r="82">
      <c r="A82" s="1" t="inlineStr">
        <is>
          <t>Net cash flow</t>
        </is>
      </c>
      <c r="C82" s="5">
        <f>C77-C78-C79-C80-C81</f>
        <v/>
      </c>
      <c r="D82" s="5">
        <f>D77-D78-D79-D80-D81</f>
        <v/>
      </c>
      <c r="E82" s="5">
        <f>E77-E78-E79-E80-E81</f>
        <v/>
      </c>
      <c r="F82" s="5">
        <f>F77-F78-F79-F80-F81</f>
        <v/>
      </c>
      <c r="G82" s="5">
        <f>G77-G78-G79-G80-G81</f>
        <v/>
      </c>
      <c r="H82" s="5">
        <f>H77-H78-H79-H80-H81</f>
        <v/>
      </c>
      <c r="I82" s="5">
        <f>I77-I78-I79-I80-I81</f>
        <v/>
      </c>
      <c r="J82" s="5">
        <f>J77-J78-J79-J80-J81</f>
        <v/>
      </c>
      <c r="K82" s="5">
        <f>K77-K78-K79-K80-K81</f>
        <v/>
      </c>
      <c r="L82" s="5">
        <f>L77-L78-L79-L80-L81</f>
        <v/>
      </c>
      <c r="M82" s="5">
        <f>M77-M78-M79-M80-M81</f>
        <v/>
      </c>
      <c r="N82" s="5">
        <f>N77-N78-N79-N80-N81</f>
        <v/>
      </c>
      <c r="O82" s="5">
        <f>O77-O78-O79-O80-O81</f>
        <v/>
      </c>
      <c r="P82" s="5">
        <f>P77-P78-P79-P80-P81</f>
        <v/>
      </c>
      <c r="Q82" s="5">
        <f>Q77-Q78-Q79-Q80-Q81</f>
        <v/>
      </c>
      <c r="R82" s="5">
        <f>R77-R78-R79-R80-R81</f>
        <v/>
      </c>
      <c r="S82" s="5">
        <f>S77-S78-S79-S80-S81</f>
        <v/>
      </c>
      <c r="T82" s="5">
        <f>T77-T78-T79-T80-T81</f>
        <v/>
      </c>
      <c r="U82" s="5">
        <f>U77-U78-U79-U80-U81</f>
        <v/>
      </c>
      <c r="V82" s="5">
        <f>V77-V78-V79-V80-V81</f>
        <v/>
      </c>
      <c r="W82" s="5">
        <f>W77-W78-W79-W80-W81</f>
        <v/>
      </c>
      <c r="X82" s="5">
        <f>X77-X78-X79-X80-X81</f>
        <v/>
      </c>
      <c r="Y82" s="5">
        <f>Y77-Y78-Y79-Y80-Y81</f>
        <v/>
      </c>
      <c r="Z82" s="5">
        <f>Z77-Z78-Z79-Z80-Z81</f>
        <v/>
      </c>
      <c r="AA82" s="5">
        <f>AA77-AA78-AA79-AA80-AA81</f>
        <v/>
      </c>
    </row>
    <row r="83">
      <c r="A83" s="1" t="inlineStr">
        <is>
          <t>Cumulative cash</t>
        </is>
      </c>
      <c r="C83" s="5">
        <f>C82</f>
        <v/>
      </c>
      <c r="D83" s="5">
        <f>C83+D82</f>
        <v/>
      </c>
      <c r="E83" s="5">
        <f>D83+E82</f>
        <v/>
      </c>
      <c r="F83" s="5">
        <f>E83+F82</f>
        <v/>
      </c>
      <c r="G83" s="5">
        <f>F83+G82</f>
        <v/>
      </c>
      <c r="H83" s="5">
        <f>G83+H82</f>
        <v/>
      </c>
      <c r="I83" s="5">
        <f>H83+I82</f>
        <v/>
      </c>
      <c r="J83" s="5">
        <f>I83+J82</f>
        <v/>
      </c>
      <c r="K83" s="5">
        <f>J83+K82</f>
        <v/>
      </c>
      <c r="L83" s="5">
        <f>K83+L82</f>
        <v/>
      </c>
      <c r="M83" s="5">
        <f>L83+M82</f>
        <v/>
      </c>
      <c r="N83" s="5">
        <f>M83+N82</f>
        <v/>
      </c>
      <c r="O83" s="5">
        <f>N83+O82</f>
        <v/>
      </c>
      <c r="P83" s="5">
        <f>O83+P82</f>
        <v/>
      </c>
      <c r="Q83" s="5">
        <f>P83+Q82</f>
        <v/>
      </c>
      <c r="R83" s="5">
        <f>Q83+R82</f>
        <v/>
      </c>
      <c r="S83" s="5">
        <f>R83+S82</f>
        <v/>
      </c>
      <c r="T83" s="5">
        <f>S83+T82</f>
        <v/>
      </c>
      <c r="U83" s="5">
        <f>T83+U82</f>
        <v/>
      </c>
      <c r="V83" s="5">
        <f>U83+V82</f>
        <v/>
      </c>
      <c r="W83" s="5">
        <f>V83+W82</f>
        <v/>
      </c>
      <c r="X83" s="5">
        <f>W83+X82</f>
        <v/>
      </c>
      <c r="Y83" s="5">
        <f>X83+Y82</f>
        <v/>
      </c>
      <c r="Z83" s="5">
        <f>Y83+Z82</f>
        <v/>
      </c>
      <c r="AA83" s="5">
        <f>Z83+AA82</f>
        <v/>
      </c>
    </row>
    <row r="84">
      <c r="A84" s="1" t="inlineStr">
        <is>
          <t>Breakeven helper (month if EBITDA&gt;0)</t>
        </is>
      </c>
      <c r="C84" s="5" t="n">
        <v>999</v>
      </c>
      <c r="D84" s="5">
        <f>IF(D74&gt;0,D$3,999)</f>
        <v/>
      </c>
      <c r="E84" s="5">
        <f>IF(E74&gt;0,E$3,999)</f>
        <v/>
      </c>
      <c r="F84" s="5">
        <f>IF(F74&gt;0,F$3,999)</f>
        <v/>
      </c>
      <c r="G84" s="5">
        <f>IF(G74&gt;0,G$3,999)</f>
        <v/>
      </c>
      <c r="H84" s="5">
        <f>IF(H74&gt;0,H$3,999)</f>
        <v/>
      </c>
      <c r="I84" s="5">
        <f>IF(I74&gt;0,I$3,999)</f>
        <v/>
      </c>
      <c r="J84" s="5">
        <f>IF(J74&gt;0,J$3,999)</f>
        <v/>
      </c>
      <c r="K84" s="5">
        <f>IF(K74&gt;0,K$3,999)</f>
        <v/>
      </c>
      <c r="L84" s="5">
        <f>IF(L74&gt;0,L$3,999)</f>
        <v/>
      </c>
      <c r="M84" s="5">
        <f>IF(M74&gt;0,M$3,999)</f>
        <v/>
      </c>
      <c r="N84" s="5">
        <f>IF(N74&gt;0,N$3,999)</f>
        <v/>
      </c>
      <c r="O84" s="5">
        <f>IF(O74&gt;0,O$3,999)</f>
        <v/>
      </c>
      <c r="P84" s="5">
        <f>IF(P74&gt;0,P$3,999)</f>
        <v/>
      </c>
      <c r="Q84" s="5">
        <f>IF(Q74&gt;0,Q$3,999)</f>
        <v/>
      </c>
      <c r="R84" s="5">
        <f>IF(R74&gt;0,R$3,999)</f>
        <v/>
      </c>
      <c r="S84" s="5">
        <f>IF(S74&gt;0,S$3,999)</f>
        <v/>
      </c>
      <c r="T84" s="5">
        <f>IF(T74&gt;0,T$3,999)</f>
        <v/>
      </c>
      <c r="U84" s="5">
        <f>IF(U74&gt;0,U$3,999)</f>
        <v/>
      </c>
      <c r="V84" s="5">
        <f>IF(V74&gt;0,V$3,999)</f>
        <v/>
      </c>
      <c r="W84" s="5">
        <f>IF(W74&gt;0,W$3,999)</f>
        <v/>
      </c>
      <c r="X84" s="5">
        <f>IF(X74&gt;0,X$3,999)</f>
        <v/>
      </c>
      <c r="Y84" s="5">
        <f>IF(Y74&gt;0,Y$3,999)</f>
        <v/>
      </c>
      <c r="Z84" s="5">
        <f>IF(Z74&gt;0,Z$3,999)</f>
        <v/>
      </c>
      <c r="AA84" s="5">
        <f>IF(AA74&gt;0,AA$3,999)</f>
        <v/>
      </c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P&amp;L by category / P&amp;L annuale per categoria / Годовой P&amp;L по категориям (EUR)</t>
        </is>
      </c>
    </row>
    <row r="3">
      <c r="A3" s="2" t="inlineStr">
        <is>
          <t>Category</t>
        </is>
      </c>
      <c r="B3" s="2" t="inlineStr">
        <is>
          <t>Rev Y1</t>
        </is>
      </c>
      <c r="C3" s="2" t="inlineStr">
        <is>
          <t>Rev Y2</t>
        </is>
      </c>
      <c r="D3" s="2" t="inlineStr">
        <is>
          <t>Direct cost Y1</t>
        </is>
      </c>
      <c r="E3" s="2" t="inlineStr">
        <is>
          <t>Direct cost Y2</t>
        </is>
      </c>
      <c r="F3" s="2" t="inlineStr">
        <is>
          <t>GP Y1</t>
        </is>
      </c>
      <c r="G3" s="2" t="inlineStr">
        <is>
          <t>GP Y2</t>
        </is>
      </c>
      <c r="H3" s="2" t="inlineStr">
        <is>
          <t>GM% Y2</t>
        </is>
      </c>
    </row>
    <row r="4">
      <c r="A4">
        <f>Assumptions!B32&amp;" / "&amp;Assumptions!C32&amp;" / "&amp;Assumptions!D32</f>
        <v/>
      </c>
      <c r="B4" s="5">
        <f>SUM(Model_24M!D11:O11)</f>
        <v/>
      </c>
      <c r="C4" s="5">
        <f>SUM(Model_24M!P11:AA11)</f>
        <v/>
      </c>
      <c r="D4" s="5">
        <f>SUM(Model_24M!D12:O12)</f>
        <v/>
      </c>
      <c r="E4" s="5">
        <f>SUM(Model_24M!P12:AA12)</f>
        <v/>
      </c>
      <c r="F4" s="5">
        <f>B4-D4</f>
        <v/>
      </c>
      <c r="G4" s="5">
        <f>C4-E4</f>
        <v/>
      </c>
      <c r="H4" s="8">
        <f>IF(C4=0,0,G4/C4)</f>
        <v/>
      </c>
    </row>
    <row r="5">
      <c r="A5">
        <f>Assumptions!B33&amp;" / "&amp;Assumptions!C33&amp;" / "&amp;Assumptions!D33</f>
        <v/>
      </c>
      <c r="B5" s="5">
        <f>SUM(Model_24M!D17:O17)</f>
        <v/>
      </c>
      <c r="C5" s="5">
        <f>SUM(Model_24M!P17:AA17)</f>
        <v/>
      </c>
      <c r="D5" s="5">
        <f>SUM(Model_24M!D18:O18)</f>
        <v/>
      </c>
      <c r="E5" s="5">
        <f>SUM(Model_24M!P18:AA18)</f>
        <v/>
      </c>
      <c r="F5" s="5">
        <f>B5-D5</f>
        <v/>
      </c>
      <c r="G5" s="5">
        <f>C5-E5</f>
        <v/>
      </c>
      <c r="H5" s="8">
        <f>IF(C5=0,0,G5/C5)</f>
        <v/>
      </c>
    </row>
    <row r="6">
      <c r="A6">
        <f>Assumptions!B34&amp;" / "&amp;Assumptions!C34&amp;" / "&amp;Assumptions!D34</f>
        <v/>
      </c>
      <c r="B6" s="5">
        <f>SUM(Model_24M!D23:O23)</f>
        <v/>
      </c>
      <c r="C6" s="5">
        <f>SUM(Model_24M!P23:AA23)</f>
        <v/>
      </c>
      <c r="D6" s="5">
        <f>SUM(Model_24M!D24:O24)</f>
        <v/>
      </c>
      <c r="E6" s="5">
        <f>SUM(Model_24M!P24:AA24)</f>
        <v/>
      </c>
      <c r="F6" s="5">
        <f>B6-D6</f>
        <v/>
      </c>
      <c r="G6" s="5">
        <f>C6-E6</f>
        <v/>
      </c>
      <c r="H6" s="8">
        <f>IF(C6=0,0,G6/C6)</f>
        <v/>
      </c>
    </row>
    <row r="7">
      <c r="A7">
        <f>Assumptions!B35&amp;" / "&amp;Assumptions!C35&amp;" / "&amp;Assumptions!D35</f>
        <v/>
      </c>
      <c r="B7" s="5">
        <f>SUM(Model_24M!D29:O29)</f>
        <v/>
      </c>
      <c r="C7" s="5">
        <f>SUM(Model_24M!P29:AA29)</f>
        <v/>
      </c>
      <c r="D7" s="5">
        <f>SUM(Model_24M!D30:O30)</f>
        <v/>
      </c>
      <c r="E7" s="5">
        <f>SUM(Model_24M!P30:AA30)</f>
        <v/>
      </c>
      <c r="F7" s="5">
        <f>B7-D7</f>
        <v/>
      </c>
      <c r="G7" s="5">
        <f>C7-E7</f>
        <v/>
      </c>
      <c r="H7" s="8">
        <f>IF(C7=0,0,G7/C7)</f>
        <v/>
      </c>
    </row>
    <row r="8">
      <c r="A8">
        <f>Assumptions!B36&amp;" / "&amp;Assumptions!C36&amp;" / "&amp;Assumptions!D36</f>
        <v/>
      </c>
      <c r="B8" s="5">
        <f>SUM(Model_24M!D35:O35)</f>
        <v/>
      </c>
      <c r="C8" s="5">
        <f>SUM(Model_24M!P35:AA35)</f>
        <v/>
      </c>
      <c r="D8" s="5">
        <f>SUM(Model_24M!D36:O36)</f>
        <v/>
      </c>
      <c r="E8" s="5">
        <f>SUM(Model_24M!P36:AA36)</f>
        <v/>
      </c>
      <c r="F8" s="5">
        <f>B8-D8</f>
        <v/>
      </c>
      <c r="G8" s="5">
        <f>C8-E8</f>
        <v/>
      </c>
      <c r="H8" s="8">
        <f>IF(C8=0,0,G8/C8)</f>
        <v/>
      </c>
    </row>
    <row r="9">
      <c r="A9">
        <f>Assumptions!B37&amp;" / "&amp;Assumptions!C37&amp;" / "&amp;Assumptions!D37</f>
        <v/>
      </c>
      <c r="B9" s="5">
        <f>SUM(Model_24M!D41:O41)</f>
        <v/>
      </c>
      <c r="C9" s="5">
        <f>SUM(Model_24M!P41:AA41)</f>
        <v/>
      </c>
      <c r="D9" s="5">
        <f>SUM(Model_24M!D42:O42)</f>
        <v/>
      </c>
      <c r="E9" s="5">
        <f>SUM(Model_24M!P42:AA42)</f>
        <v/>
      </c>
      <c r="F9" s="5">
        <f>B9-D9</f>
        <v/>
      </c>
      <c r="G9" s="5">
        <f>C9-E9</f>
        <v/>
      </c>
      <c r="H9" s="8">
        <f>IF(C9=0,0,G9/C9)</f>
        <v/>
      </c>
    </row>
    <row r="10">
      <c r="A10">
        <f>Assumptions!B38&amp;" / "&amp;Assumptions!C38&amp;" / "&amp;Assumptions!D38</f>
        <v/>
      </c>
      <c r="B10" s="5">
        <f>SUM(Model_24M!D47:O47)</f>
        <v/>
      </c>
      <c r="C10" s="5">
        <f>SUM(Model_24M!P47:AA47)</f>
        <v/>
      </c>
      <c r="D10" s="5">
        <f>SUM(Model_24M!D48:O48)</f>
        <v/>
      </c>
      <c r="E10" s="5">
        <f>SUM(Model_24M!P48:AA48)</f>
        <v/>
      </c>
      <c r="F10" s="5">
        <f>B10-D10</f>
        <v/>
      </c>
      <c r="G10" s="5">
        <f>C10-E10</f>
        <v/>
      </c>
      <c r="H10" s="8">
        <f>IF(C10=0,0,G10/C10)</f>
        <v/>
      </c>
    </row>
    <row r="11">
      <c r="A11">
        <f>Assumptions!B39&amp;" / "&amp;Assumptions!C39&amp;" / "&amp;Assumptions!D39</f>
        <v/>
      </c>
      <c r="B11" s="5">
        <f>SUM(Model_24M!D53:O53)</f>
        <v/>
      </c>
      <c r="C11" s="5">
        <f>SUM(Model_24M!P53:AA53)</f>
        <v/>
      </c>
      <c r="D11" s="5">
        <f>SUM(Model_24M!D54:O54)</f>
        <v/>
      </c>
      <c r="E11" s="5">
        <f>SUM(Model_24M!P54:AA54)</f>
        <v/>
      </c>
      <c r="F11" s="5">
        <f>B11-D11</f>
        <v/>
      </c>
      <c r="G11" s="5">
        <f>C11-E11</f>
        <v/>
      </c>
      <c r="H11" s="8">
        <f>IF(C11=0,0,G11/C11)</f>
        <v/>
      </c>
    </row>
    <row r="12">
      <c r="A12">
        <f>Assumptions!B40&amp;" / "&amp;Assumptions!C40&amp;" / "&amp;Assumptions!D40</f>
        <v/>
      </c>
      <c r="B12" s="5">
        <f>SUM(Model_24M!D59:O59)</f>
        <v/>
      </c>
      <c r="C12" s="5">
        <f>SUM(Model_24M!P59:AA59)</f>
        <v/>
      </c>
      <c r="D12" s="5">
        <f>SUM(Model_24M!D60:O60)</f>
        <v/>
      </c>
      <c r="E12" s="5">
        <f>SUM(Model_24M!P60:AA60)</f>
        <v/>
      </c>
      <c r="F12" s="5">
        <f>B12-D12</f>
        <v/>
      </c>
      <c r="G12" s="5">
        <f>C12-E12</f>
        <v/>
      </c>
      <c r="H12" s="8">
        <f>IF(C12=0,0,G12/C12)</f>
        <v/>
      </c>
    </row>
    <row r="13">
      <c r="A13">
        <f>Assumptions!B41&amp;" / "&amp;Assumptions!C41&amp;" / "&amp;Assumptions!D41</f>
        <v/>
      </c>
      <c r="B13" s="5">
        <f>SUM(Model_24M!D65:O65)</f>
        <v/>
      </c>
      <c r="C13" s="5">
        <f>SUM(Model_24M!P65:AA65)</f>
        <v/>
      </c>
      <c r="D13" s="5">
        <f>SUM(Model_24M!D66:O66)</f>
        <v/>
      </c>
      <c r="E13" s="5">
        <f>SUM(Model_24M!P66:AA66)</f>
        <v/>
      </c>
      <c r="F13" s="5">
        <f>B13-D13</f>
        <v/>
      </c>
      <c r="G13" s="5">
        <f>C13-E13</f>
        <v/>
      </c>
      <c r="H13" s="8">
        <f>IF(C13=0,0,G13/C13)</f>
        <v/>
      </c>
    </row>
    <row r="14">
      <c r="A14" s="1" t="inlineStr">
        <is>
          <t>TOTAL / TOTALE / ИТОГО</t>
        </is>
      </c>
      <c r="B14" s="5">
        <f>SUM(B4:B13)</f>
        <v/>
      </c>
      <c r="C14" s="5">
        <f>SUM(C4:C13)</f>
        <v/>
      </c>
      <c r="D14" s="5">
        <f>SUM(D4:D13)</f>
        <v/>
      </c>
      <c r="E14" s="5">
        <f>SUM(E4:E13)</f>
        <v/>
      </c>
      <c r="F14" s="5">
        <f>SUM(F4:F13)</f>
        <v/>
      </c>
      <c r="G14" s="5">
        <f>SUM(G4:G13)</f>
        <v/>
      </c>
      <c r="H14" s="8">
        <f>IF(C14=0,0,G14/C14)</f>
        <v/>
      </c>
    </row>
    <row r="15">
      <c r="A15" t="inlineStr">
        <is>
          <t>Pre-launch investment (month 0)</t>
        </is>
      </c>
      <c r="B15" s="5">
        <f>Assumptions!B28</f>
        <v/>
      </c>
      <c r="C15" s="5" t="n"/>
      <c r="D15" s="5" t="n"/>
      <c r="E15" s="5" t="n"/>
      <c r="F15" s="5" t="n"/>
      <c r="G15" s="5" t="n"/>
    </row>
    <row r="16">
      <c r="A16" s="1" t="inlineStr">
        <is>
          <t>Fixed opex</t>
        </is>
      </c>
      <c r="B16" s="5">
        <f>SUM(Model_24M!D73:O73)</f>
        <v/>
      </c>
      <c r="C16" s="5">
        <f>SUM(Model_24M!P73:AA73)</f>
        <v/>
      </c>
      <c r="D16" s="5" t="n"/>
      <c r="E16" s="5" t="n"/>
      <c r="F16" s="5" t="n"/>
      <c r="G16" s="5" t="n"/>
    </row>
    <row r="17">
      <c r="A17" s="1" t="inlineStr">
        <is>
          <t>EBITDA</t>
        </is>
      </c>
      <c r="B17" s="5">
        <f>SUM(Model_24M!D74:O74)</f>
        <v/>
      </c>
      <c r="C17" s="5">
        <f>SUM(Model_24M!P74:AA74)</f>
        <v/>
      </c>
      <c r="D17" s="5" t="n"/>
      <c r="E17" s="5" t="n"/>
      <c r="F17" s="5" t="n"/>
      <c r="G17" s="5" t="n"/>
    </row>
    <row r="18">
      <c r="A18" s="1" t="inlineStr">
        <is>
          <t>Tax</t>
        </is>
      </c>
      <c r="B18" s="5">
        <f>SUM(Model_24M!D75:O75)</f>
        <v/>
      </c>
      <c r="C18" s="5">
        <f>SUM(Model_24M!P75:AA75)</f>
        <v/>
      </c>
      <c r="D18" s="5" t="n"/>
      <c r="E18" s="5" t="n"/>
      <c r="F18" s="5" t="n"/>
      <c r="G18" s="5" t="n"/>
    </row>
    <row r="19">
      <c r="A19" s="1" t="inlineStr">
        <is>
          <t>Net income</t>
        </is>
      </c>
      <c r="B19" s="5">
        <f>SUM(Model_24M!D76:O76)</f>
        <v/>
      </c>
      <c r="C19" s="5">
        <f>SUM(Model_24M!P76:AA76)</f>
        <v/>
      </c>
      <c r="D19" s="5" t="n"/>
      <c r="E19" s="5" t="n"/>
      <c r="F19" s="5" t="n"/>
      <c r="G19" s="5" t="n"/>
    </row>
    <row r="20">
      <c r="B20" s="5" t="n"/>
      <c r="C20" s="5" t="n"/>
      <c r="D20" s="5" t="n"/>
      <c r="E20" s="5" t="n"/>
      <c r="F20" s="5" t="n"/>
      <c r="G2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  <col width="10" customWidth="1" min="4" max="4"/>
    <col width="60" customWidth="1" min="5" max="5"/>
  </cols>
  <sheetData>
    <row r="1">
      <c r="A1" s="2" t="inlineStr">
        <is>
          <t>Trend EN</t>
        </is>
      </c>
      <c r="B1" s="2" t="inlineStr">
        <is>
          <t>Tendenza IT</t>
        </is>
      </c>
      <c r="C1" s="2" t="inlineStr">
        <is>
          <t>Тренд RU</t>
        </is>
      </c>
      <c r="D1" s="2" t="inlineStr">
        <is>
          <t>Horizon</t>
        </is>
      </c>
      <c r="E1" s="2" t="inlineStr">
        <is>
          <t>Assessment (analyst judgement) / Valutazione / Оценка (экспертное суждение)</t>
        </is>
      </c>
    </row>
    <row r="2">
      <c r="A2" s="6" t="inlineStr">
        <is>
          <t>Agentic hotel operations</t>
        </is>
      </c>
      <c r="B2" s="6" t="inlineStr">
        <is>
          <t>Operazioni alberghiere agentiche</t>
        </is>
      </c>
      <c r="C2" s="6" t="inlineStr">
        <is>
          <t>Agentic-операции отеля</t>
        </is>
      </c>
      <c r="D2" s="6" t="inlineStr">
        <is>
          <t>7-10 y</t>
        </is>
      </c>
      <c r="E2" s="6" t="inlineStr">
        <is>
          <t>Very high / Molto alto / Очень высокий</t>
        </is>
      </c>
    </row>
    <row r="3">
      <c r="A3" s="6" t="inlineStr">
        <is>
          <t>Identity/context layer (guest-room-reservation)</t>
        </is>
      </c>
      <c r="B3" s="6" t="inlineStr">
        <is>
          <t>Livello identita/contesto (ospite-camera-prenotazione)</t>
        </is>
      </c>
      <c r="C3" s="6" t="inlineStr">
        <is>
          <t>Слой идентификации/контекста (гость-номер-бронь)</t>
        </is>
      </c>
      <c r="D3" s="6" t="inlineStr">
        <is>
          <t>7-10 y</t>
        </is>
      </c>
      <c r="E3" s="6" t="inlineStr">
        <is>
          <t>Very high / Molto alto / Очень высокий</t>
        </is>
      </c>
    </row>
    <row r="4">
      <c r="A4" s="6" t="inlineStr">
        <is>
          <t>Energy IoT (occupancy-based HVAC)</t>
        </is>
      </c>
      <c r="B4" s="6" t="inlineStr">
        <is>
          <t>IoT energia (HVAC basato su presenza)</t>
        </is>
      </c>
      <c r="C4" s="6" t="inlineStr">
        <is>
          <t>Energy IoT (климат по occupancy)</t>
        </is>
      </c>
      <c r="D4" s="6" t="inlineStr">
        <is>
          <t>8-12 y</t>
        </is>
      </c>
      <c r="E4" s="6" t="inlineStr">
        <is>
          <t>Very high / Molto alto / Очень высокий</t>
        </is>
      </c>
    </row>
    <row r="5">
      <c r="A5" s="6" t="inlineStr">
        <is>
          <t>Smart access / digital keys</t>
        </is>
      </c>
      <c r="B5" s="6" t="inlineStr">
        <is>
          <t>Smart access / chiavi digitali</t>
        </is>
      </c>
      <c r="C5" s="6" t="inlineStr">
        <is>
          <t>Smart access / цифровые ключи</t>
        </is>
      </c>
      <c r="D5" s="6" t="inlineStr">
        <is>
          <t>8-12 y</t>
        </is>
      </c>
      <c r="E5" s="6" t="inlineStr">
        <is>
          <t>Very high / Molto alto / Очень высокий</t>
        </is>
      </c>
    </row>
    <row r="6">
      <c r="A6" s="6" t="inlineStr">
        <is>
          <t>Multilingual guest service</t>
        </is>
      </c>
      <c r="B6" s="6" t="inlineStr">
        <is>
          <t>Servizio multilingue</t>
        </is>
      </c>
      <c r="C6" s="6" t="inlineStr">
        <is>
          <t>Мультиязычный сервис</t>
        </is>
      </c>
      <c r="D6" s="6" t="inlineStr">
        <is>
          <t>7-10 y</t>
        </is>
      </c>
      <c r="E6" s="6" t="inlineStr">
        <is>
          <t>Very high, weak moat / Molto alto, moat debole / Очень высокий, слабый moat</t>
        </is>
      </c>
    </row>
    <row r="7">
      <c r="A7" s="6" t="inlineStr">
        <is>
          <t>Smart vending / micro-market / lockers</t>
        </is>
      </c>
      <c r="B7" s="6" t="inlineStr">
        <is>
          <t>Smart vending / micro-market / locker</t>
        </is>
      </c>
      <c r="C7" s="6" t="inlineStr">
        <is>
          <t>Smart vending / micro-market / локеры</t>
        </is>
      </c>
      <c r="D7" s="6" t="inlineStr">
        <is>
          <t>5-8 y</t>
        </is>
      </c>
      <c r="E7" s="6" t="inlineStr">
        <is>
          <t>High / Alto / Высокий</t>
        </is>
      </c>
    </row>
    <row r="8">
      <c r="A8" s="6" t="inlineStr">
        <is>
          <t>Check-in kiosks</t>
        </is>
      </c>
      <c r="B8" s="6" t="inlineStr">
        <is>
          <t>Kiosk di check-in</t>
        </is>
      </c>
      <c r="C8" s="6" t="inlineStr">
        <is>
          <t>Киоски check-in</t>
        </is>
      </c>
      <c r="D8" s="6" t="inlineStr">
        <is>
          <t>4-7 y</t>
        </is>
      </c>
      <c r="E8" s="6" t="inlineStr">
        <is>
          <t>Medium-high / Medio-alto / Средне-высокий</t>
        </is>
      </c>
    </row>
    <row r="9">
      <c r="A9" s="6" t="inlineStr">
        <is>
          <t>In-room voice/screen assistant</t>
        </is>
      </c>
      <c r="B9" s="6" t="inlineStr">
        <is>
          <t>Assistente vocale/schermo in camera</t>
        </is>
      </c>
      <c r="C9" s="6" t="inlineStr">
        <is>
          <t>Голосовой/экранный ассистент в номере</t>
        </is>
      </c>
      <c r="D9" s="6" t="inlineStr">
        <is>
          <t>3-6 y</t>
        </is>
      </c>
      <c r="E9" s="6" t="inlineStr">
        <is>
          <t>Medium / Medio / Средний</t>
        </is>
      </c>
    </row>
    <row r="10">
      <c r="A10" s="6" t="inlineStr">
        <is>
          <t>QR/phone concierge</t>
        </is>
      </c>
      <c r="B10" s="6" t="inlineStr">
        <is>
          <t>Concierge QR/telefono</t>
        </is>
      </c>
      <c r="C10" s="6" t="inlineStr">
        <is>
          <t>QR/телефонный консьерж</t>
        </is>
      </c>
      <c r="D10" s="6" t="inlineStr">
        <is>
          <t>2-4 y</t>
        </is>
      </c>
      <c r="E10" s="6" t="inlineStr">
        <is>
          <t>Medium, commoditising / Medio, commoditizzazione / Средний, коммодитизация</t>
        </is>
      </c>
    </row>
    <row r="11">
      <c r="A11" s="6" t="inlineStr">
        <is>
          <t>Delivery/cleaning robots</t>
        </is>
      </c>
      <c r="B11" s="6" t="inlineStr">
        <is>
          <t>Robot consegna/pulizia</t>
        </is>
      </c>
      <c r="C11" s="6" t="inlineStr">
        <is>
          <t>Роботы доставки/уборки</t>
        </is>
      </c>
      <c r="D11" s="6" t="inlineStr">
        <is>
          <t>5-8 y</t>
        </is>
      </c>
      <c r="E11" s="6" t="inlineStr">
        <is>
          <t>Medium, size-dependent / Medio, dipende dalla dimensione / Средний, зависит от размера отеля</t>
        </is>
      </c>
    </row>
    <row r="12">
      <c r="A12" s="6" t="inlineStr">
        <is>
          <t>Humanoid greeters</t>
        </is>
      </c>
      <c r="B12" s="6" t="inlineStr">
        <is>
          <t>Umanoidi di accoglienza</t>
        </is>
      </c>
      <c r="C12" s="6" t="inlineStr">
        <is>
          <t>Гуманоидные greeters</t>
        </is>
      </c>
      <c r="D12" s="6" t="inlineStr">
        <is>
          <t>1-3 y</t>
        </is>
      </c>
      <c r="E12" s="6" t="inlineStr">
        <is>
          <t>Low / Basso / Низкий</t>
        </is>
      </c>
    </row>
    <row r="13">
      <c r="A13" s="6" t="inlineStr">
        <is>
          <t>Vape/nicotine vending</t>
        </is>
      </c>
      <c r="B13" s="6" t="inlineStr">
        <is>
          <t>Vending vape/nicotina</t>
        </is>
      </c>
      <c r="C13" s="6" t="inlineStr">
        <is>
          <t>Vending вейпов/никотина</t>
        </is>
      </c>
      <c r="D13" s="6" t="inlineStr">
        <is>
          <t>2-5 y</t>
        </is>
      </c>
      <c r="E13" s="6" t="inlineStr">
        <is>
          <t>Low-medium; regulatory risk / Basso-medio; rischio normativo / Низко-средний; регуляторный риск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55" customWidth="1" min="4" max="4"/>
    <col width="55" customWidth="1" min="5" max="5"/>
    <col width="55" customWidth="1" min="6" max="6"/>
  </cols>
  <sheetData>
    <row r="1">
      <c r="A1" s="2" t="inlineStr">
        <is>
          <t>Category EN</t>
        </is>
      </c>
      <c r="B1" s="2" t="inlineStr">
        <is>
          <t>Categoria IT</t>
        </is>
      </c>
      <c r="C1" s="2" t="inlineStr">
        <is>
          <t>Категория RU</t>
        </is>
      </c>
      <c r="D1" s="2" t="inlineStr">
        <is>
          <t>Requirement EN (verify with counsel)</t>
        </is>
      </c>
      <c r="E1" s="2" t="inlineStr">
        <is>
          <t>Requisito IT (verificare con legale)</t>
        </is>
      </c>
      <c r="F1" s="2" t="inlineStr">
        <is>
          <t>Требование RU (проверить с юристом)</t>
        </is>
      </c>
    </row>
    <row r="2">
      <c r="A2" s="6" t="inlineStr">
        <is>
          <t>Agentic SaaS / guest data</t>
        </is>
      </c>
      <c r="B2" s="6" t="inlineStr">
        <is>
          <t>SaaS agentico / dati ospiti</t>
        </is>
      </c>
      <c r="C2" s="6" t="inlineStr">
        <is>
          <t>Agentic SaaS / данные гостей</t>
        </is>
      </c>
      <c r="D2" s="6" t="inlineStr">
        <is>
          <t>GDPR, DPA with hotels, DPIA, audit logs, EU hosting</t>
        </is>
      </c>
      <c r="E2" s="6" t="inlineStr">
        <is>
          <t>GDPR, DPA con hotel, DPIA, log di audit, hosting UE</t>
        </is>
      </c>
      <c r="F2" s="6" t="inlineStr">
        <is>
          <t>GDPR, DPA с отелями, DPIA, audit-логи, хостинг в ЕС</t>
        </is>
      </c>
    </row>
    <row r="3">
      <c r="A3" s="6" t="inlineStr">
        <is>
          <t>Guest registration / identity</t>
        </is>
      </c>
      <c r="B3" s="6" t="inlineStr">
        <is>
          <t>Registrazione ospiti / identita</t>
        </is>
      </c>
      <c r="C3" s="6" t="inlineStr">
        <is>
          <t>Регистрация гостей / идентификация</t>
        </is>
      </c>
      <c r="D3" s="6" t="inlineStr">
        <is>
          <t>Alloggiati Web (TULPS art.109), ISTAT; do not store ID copies longer than needed; keep ID out of room devices</t>
        </is>
      </c>
      <c r="E3" s="6" t="inlineStr">
        <is>
          <t>Alloggiati Web (TULPS art.109), ISTAT; non conservare copie documenti oltre il necessario; niente documenti sui dispositivi in camera</t>
        </is>
      </c>
      <c r="F3" s="6" t="inlineStr">
        <is>
          <t>Alloggiati Web (TULPS ст.109), ISTAT; не хранить копии документов дольше необходимого; документы не держать на устройствах в номере</t>
        </is>
      </c>
    </row>
    <row r="4">
      <c r="A4" s="6" t="inlineStr">
        <is>
          <t>Radio hardware import (Wi-Fi/BLE/Zigbee)</t>
        </is>
      </c>
      <c r="B4" s="6" t="inlineStr">
        <is>
          <t>Import hardware radio</t>
        </is>
      </c>
      <c r="C4" s="6" t="inlineStr">
        <is>
          <t>Импорт радио-оборудования</t>
        </is>
      </c>
      <c r="D4" s="6" t="inlineStr">
        <is>
          <t>CE, RED, EMC/LVD, RoHS, EU DoC, technical file; importer duties</t>
        </is>
      </c>
      <c r="E4" s="6" t="inlineStr">
        <is>
          <t>CE, RED, EMC/LVD, RoHS, DoC UE, fascicolo tecnico; obblighi dell'importatore</t>
        </is>
      </c>
      <c r="F4" s="6" t="inlineStr">
        <is>
          <t>CE, RED, EMC/LVD, RoHS, EU DoC, технич. досье; обязанности импортёра</t>
        </is>
      </c>
    </row>
    <row r="5">
      <c r="A5" s="6" t="inlineStr">
        <is>
          <t>White-label / own brand</t>
        </is>
      </c>
      <c r="B5" s="6" t="inlineStr">
        <is>
          <t>White-label / marchio proprio</t>
        </is>
      </c>
      <c r="C5" s="6" t="inlineStr">
        <is>
          <t>White-label / свой бренд</t>
        </is>
      </c>
      <c r="D5" s="6" t="inlineStr">
        <is>
          <t>Own brand can shift manufacturer obligations to you</t>
        </is>
      </c>
      <c r="E5" s="6" t="inlineStr">
        <is>
          <t>Il marchio proprio puo trasferire obblighi del fabbricante</t>
        </is>
      </c>
      <c r="F5" s="6" t="inlineStr">
        <is>
          <t>Свой бренд может перенести на вас обязанности производителя</t>
        </is>
      </c>
    </row>
    <row r="6">
      <c r="A6" s="6" t="inlineStr">
        <is>
          <t>Connected products cyber</t>
        </is>
      </c>
      <c r="B6" s="6" t="inlineStr">
        <is>
          <t>Cybersicurezza prodotti connessi</t>
        </is>
      </c>
      <c r="C6" s="6" t="inlineStr">
        <is>
          <t>Кибербезопасность подключённых устройств</t>
        </is>
      </c>
      <c r="D6" s="6" t="inlineStr">
        <is>
          <t>EU Cyber Resilience Act (reporting from Sep 2026, main duties Dec 2027): SBOM, updates, vulnerability contact</t>
        </is>
      </c>
      <c r="E6" s="6" t="inlineStr">
        <is>
          <t>Cyber Resilience Act UE (segnalazioni da set 2026, obblighi principali dic 2027): SBOM, aggiornamenti, contatto vulnerabilita</t>
        </is>
      </c>
      <c r="F6" s="6" t="inlineStr">
        <is>
          <t>EU Cyber Resilience Act (отчётность с сентября 2026, основные требования с декабря 2027): SBOM, обновления, контакт по уязвимостям</t>
        </is>
      </c>
    </row>
    <row r="7">
      <c r="A7" s="6" t="inlineStr">
        <is>
          <t>Payments (vending/lockers)</t>
        </is>
      </c>
      <c r="B7" s="6" t="inlineStr">
        <is>
          <t>Pagamenti (vending/locker)</t>
        </is>
      </c>
      <c r="C7" s="6" t="inlineStr">
        <is>
          <t>Платежи (vending/локеры)</t>
        </is>
      </c>
      <c r="D7" s="6" t="inlineStr">
        <is>
          <t>Use certified PSP/terminal (e.g., Nexi/Adyen/Stripe); avoid handling card data</t>
        </is>
      </c>
      <c r="E7" s="6" t="inlineStr">
        <is>
          <t>Usare PSP/terminale certificato; non gestire dati carta</t>
        </is>
      </c>
      <c r="F7" s="6" t="inlineStr">
        <is>
          <t>Сертифицированный PSP/терминал; не обрабатывать данные карт</t>
        </is>
      </c>
    </row>
    <row r="8">
      <c r="A8" s="6" t="inlineStr">
        <is>
          <t>Food/drink vending</t>
        </is>
      </c>
      <c r="B8" s="6" t="inlineStr">
        <is>
          <t>Vending alimentare</t>
        </is>
      </c>
      <c r="C8" s="6" t="inlineStr">
        <is>
          <t>Vending еды/напитков</t>
        </is>
      </c>
      <c r="D8" s="6" t="inlineStr">
        <is>
          <t>SCIA/SUAP, HACCP, labelling - ideally via local licensed operator</t>
        </is>
      </c>
      <c r="E8" s="6" t="inlineStr">
        <is>
          <t>SCIA/SUAP, HACCP, etichettatura - meglio tramite operatore locale</t>
        </is>
      </c>
      <c r="F8" s="6" t="inlineStr">
        <is>
          <t>SCIA/SUAP, HACCP, маркировка - лучше через местного лицензированного оператора</t>
        </is>
      </c>
    </row>
    <row r="9">
      <c r="A9" s="6" t="inlineStr">
        <is>
          <t>Smart locks</t>
        </is>
      </c>
      <c r="B9" s="6" t="inlineStr">
        <is>
          <t>Serrature smart</t>
        </is>
      </c>
      <c r="C9" s="6" t="inlineStr">
        <is>
          <t>Умные замки</t>
        </is>
      </c>
      <c r="D9" s="6" t="inlineStr">
        <is>
          <t>RED/EMC, fire/emergency egress compatibility, qualified locksmith</t>
        </is>
      </c>
      <c r="E9" s="6" t="inlineStr">
        <is>
          <t>RED/EMC, compatibilita antincendio/emergenza, fabbro qualificato</t>
        </is>
      </c>
      <c r="F9" s="6" t="inlineStr">
        <is>
          <t>RED/EMC, совместимость с пожарной эвакуацией, квалифицированный слесарь</t>
        </is>
      </c>
    </row>
    <row r="10">
      <c r="A10" s="6" t="inlineStr">
        <is>
          <t>Robots</t>
        </is>
      </c>
      <c r="B10" s="6" t="inlineStr">
        <is>
          <t>Robot</t>
        </is>
      </c>
      <c r="C10" s="6" t="inlineStr">
        <is>
          <t>Роботы</t>
        </is>
      </c>
      <c r="D10" s="6" t="inlineStr">
        <is>
          <t>CE/machinery safety, risk assessment, liability insurance, supervised deployment</t>
        </is>
      </c>
      <c r="E10" s="6" t="inlineStr">
        <is>
          <t>CE/sicurezza macchine, valutazione rischi, assicurazione RC, impiego supervisionato</t>
        </is>
      </c>
      <c r="F10" s="6" t="inlineStr">
        <is>
          <t>CE/безопасность машин, оценка рисков, страхование ответственности, работа под присмотром</t>
        </is>
      </c>
    </row>
    <row r="11">
      <c r="A11" s="6" t="inlineStr">
        <is>
          <t>Tobacco / vape vending</t>
        </is>
      </c>
      <c r="B11" s="6" t="inlineStr">
        <is>
          <t>Vending tabacchi / vape</t>
        </is>
      </c>
      <c r="C11" s="6" t="inlineStr">
        <is>
          <t>Vending табака / вейпов</t>
        </is>
      </c>
      <c r="D11" s="6" t="inlineStr">
        <is>
          <t>ADM authorisation, age verification, excise, advertising ban: only via licensed operator after legal opinion</t>
        </is>
      </c>
      <c r="E11" s="6" t="inlineStr">
        <is>
          <t>Autorizzazione ADM, verifica eta, accise, divieto pubblicita: solo tramite operatore autorizzato dopo parere legale</t>
        </is>
      </c>
      <c r="F11" s="6" t="inlineStr">
        <is>
          <t>Разрешение ADM, проверка возраста, акциз, запрет рекламы: только через лицензированного оператора после юридического заключения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18" customWidth="1" min="4" max="4"/>
    <col width="45" customWidth="1" min="5" max="5"/>
    <col width="45" customWidth="1" min="6" max="6"/>
    <col width="45" customWidth="1" min="7" max="7"/>
  </cols>
  <sheetData>
    <row r="1">
      <c r="A1" s="2" t="inlineStr">
        <is>
          <t>Risk EN</t>
        </is>
      </c>
      <c r="B1" s="2" t="inlineStr">
        <is>
          <t>Rischio IT</t>
        </is>
      </c>
      <c r="C1" s="2" t="inlineStr">
        <is>
          <t>Риск RU</t>
        </is>
      </c>
      <c r="D1" s="2" t="inlineStr">
        <is>
          <t>Likelihood</t>
        </is>
      </c>
      <c r="E1" s="2" t="inlineStr">
        <is>
          <t>Mitigation EN</t>
        </is>
      </c>
      <c r="F1" s="2" t="inlineStr">
        <is>
          <t>Mitigazione IT</t>
        </is>
      </c>
      <c r="G1" s="2" t="inlineStr">
        <is>
          <t>Митигация RU</t>
        </is>
      </c>
    </row>
    <row r="2">
      <c r="A2" s="6" t="inlineStr">
        <is>
          <t>Long hotel sales cycle</t>
        </is>
      </c>
      <c r="B2" s="6" t="inlineStr">
        <is>
          <t>Ciclo di vendita lungo</t>
        </is>
      </c>
      <c r="C2" s="6" t="inlineStr">
        <is>
          <t>Долгий цикл продаж</t>
        </is>
      </c>
      <c r="D2" s="6" t="inlineStr">
        <is>
          <t>High</t>
        </is>
      </c>
      <c r="E2" s="6" t="inlineStr">
        <is>
          <t>Paid pilots, PMS partners, off-season installs</t>
        </is>
      </c>
      <c r="F2" s="6" t="inlineStr">
        <is>
          <t>Pilot a pagamento, partner PMS, installazioni fuori stagione</t>
        </is>
      </c>
      <c r="G2" s="6" t="inlineStr">
        <is>
          <t>Платные пилоты, партнёры PMS, установка вне сезона</t>
        </is>
      </c>
    </row>
    <row r="3">
      <c r="A3" s="6" t="inlineStr">
        <is>
          <t>Low guest usage of GuestNode</t>
        </is>
      </c>
      <c r="B3" s="6" t="inlineStr">
        <is>
          <t>Scarso uso di GuestNode</t>
        </is>
      </c>
      <c r="C3" s="6" t="inlineStr">
        <is>
          <t>Низкое использование GuestNode</t>
        </is>
      </c>
      <c r="D3" s="6" t="inlineStr">
        <is>
          <t>Medium</t>
        </is>
      </c>
      <c r="E3" s="6" t="inlineStr">
        <is>
          <t>Lobby-first, QR fallback, usage gates before room rollout</t>
        </is>
      </c>
      <c r="F3" s="6" t="inlineStr">
        <is>
          <t>Prima lobby, QR di riserva, soglie di utilizzo</t>
        </is>
      </c>
      <c r="G3" s="6" t="inlineStr">
        <is>
          <t>Сначала лобби, QR-запасной канал, пороги использования</t>
        </is>
      </c>
    </row>
    <row r="4">
      <c r="A4" s="6" t="inlineStr">
        <is>
          <t>Hardware failures / weak OEM docs</t>
        </is>
      </c>
      <c r="B4" s="6" t="inlineStr">
        <is>
          <t>Guasti hardware / documentazione OEM debole</t>
        </is>
      </c>
      <c r="C4" s="6" t="inlineStr">
        <is>
          <t>Поломки / слабая документация OEM</t>
        </is>
      </c>
      <c r="D4" s="6" t="inlineStr">
        <is>
          <t>High</t>
        </is>
      </c>
      <c r="E4" s="6" t="inlineStr">
        <is>
          <t>Pre-shipment audit, 5-10% spare pool, EU repair partner</t>
        </is>
      </c>
      <c r="F4" s="6" t="inlineStr">
        <is>
          <t>Audit pre-spedizione, scorta 5-10%, partner riparazioni UE</t>
        </is>
      </c>
      <c r="G4" s="6" t="inlineStr">
        <is>
          <t>Аудит перед отгрузкой, запас 5-10%, сервис-партнёр в ЕС</t>
        </is>
      </c>
    </row>
    <row r="5">
      <c r="A5" s="6" t="inlineStr">
        <is>
          <t>Chinese cloud lock-in</t>
        </is>
      </c>
      <c r="B5" s="6" t="inlineStr">
        <is>
          <t>Dipendenza dal cloud cinese</t>
        </is>
      </c>
      <c r="C5" s="6" t="inlineStr">
        <is>
          <t>Зависимость от китайского облака</t>
        </is>
      </c>
      <c r="D5" s="6" t="inlineStr">
        <is>
          <t>Medium</t>
        </is>
      </c>
      <c r="E5" s="6" t="inlineStr">
        <is>
          <t>Local API, own EU cloud, data export rights</t>
        </is>
      </c>
      <c r="F5" s="6" t="inlineStr">
        <is>
          <t>API locale, cloud UE proprio, diritti di export dati</t>
        </is>
      </c>
      <c r="G5" s="6" t="inlineStr">
        <is>
          <t>Локальный API, собственное облако в ЕС, права экспорта данных</t>
        </is>
      </c>
    </row>
    <row r="6">
      <c r="A6" s="6" t="inlineStr">
        <is>
          <t>PMS integration fragmentation</t>
        </is>
      </c>
      <c r="B6" s="6" t="inlineStr">
        <is>
          <t>Frammentazione integrazioni PMS</t>
        </is>
      </c>
      <c r="C6" s="6" t="inlineStr">
        <is>
          <t>Фрагментация интеграций PMS</t>
        </is>
      </c>
      <c r="D6" s="6" t="inlineStr">
        <is>
          <t>High</t>
        </is>
      </c>
      <c r="E6" s="6" t="inlineStr">
        <is>
          <t>Start with 2-3 PMS (e.g., Slope, WuBook, Octorate - verify APIs)</t>
        </is>
      </c>
      <c r="F6" s="6" t="inlineStr">
        <is>
          <t>Partire con 2-3 PMS (verificare API)</t>
        </is>
      </c>
      <c r="G6" s="6" t="inlineStr">
        <is>
          <t>Начать с 2-3 PMS (проверить API)</t>
        </is>
      </c>
    </row>
    <row r="7">
      <c r="A7" s="6" t="inlineStr">
        <is>
          <t>Seasonality of Liguria</t>
        </is>
      </c>
      <c r="B7" s="6" t="inlineStr">
        <is>
          <t>Stagionalita Liguria</t>
        </is>
      </c>
      <c r="C7" s="6" t="inlineStr">
        <is>
          <t>Сезонность Лигурии</t>
        </is>
      </c>
      <c r="D7" s="6" t="inlineStr">
        <is>
          <t>High</t>
        </is>
      </c>
      <c r="E7" s="6" t="inlineStr">
        <is>
          <t>Annual SaaS contracts, schedule installs Nov-Mar</t>
        </is>
      </c>
      <c r="F7" s="6" t="inlineStr">
        <is>
          <t>Contratti annuali, installazioni nov-mar</t>
        </is>
      </c>
      <c r="G7" s="6" t="inlineStr">
        <is>
          <t>Годовые контракты, установка ноя-мар</t>
        </is>
      </c>
    </row>
    <row r="8">
      <c r="A8" s="6" t="inlineStr">
        <is>
          <t>Working-capital squeeze</t>
        </is>
      </c>
      <c r="B8" s="6" t="inlineStr">
        <is>
          <t>Tensione di capitale circolante</t>
        </is>
      </c>
      <c r="C8" s="6" t="inlineStr">
        <is>
          <t>Нехватка оборотного капитала</t>
        </is>
      </c>
      <c r="D8" s="6" t="inlineStr">
        <is>
          <t>Medium</t>
        </is>
      </c>
      <c r="E8" s="6" t="inlineStr">
        <is>
          <t>Hotel deposit before ordering, 30-50% supplier deposit limits</t>
        </is>
      </c>
      <c r="F8" s="6" t="inlineStr">
        <is>
          <t>Acconto hotel prima dell'ordine</t>
        </is>
      </c>
      <c r="G8" s="6" t="inlineStr">
        <is>
          <t>Депозит отеля до заказа оборудования</t>
        </is>
      </c>
    </row>
    <row r="9">
      <c r="A9" s="6" t="inlineStr">
        <is>
          <t>GDPR incident</t>
        </is>
      </c>
      <c r="B9" s="6" t="inlineStr">
        <is>
          <t>Incidente GDPR</t>
        </is>
      </c>
      <c r="C9" s="6" t="inlineStr">
        <is>
          <t>Инцидент GDPR</t>
        </is>
      </c>
      <c r="D9" s="6" t="inlineStr">
        <is>
          <t>Low-medium / very high impact</t>
        </is>
      </c>
      <c r="E9" s="6" t="inlineStr">
        <is>
          <t>Data minimisation, encryption, DPAs, logging</t>
        </is>
      </c>
      <c r="F9" s="6" t="inlineStr">
        <is>
          <t>Minimizzazione dati, cifratura, DPA, log</t>
        </is>
      </c>
      <c r="G9" s="6" t="inlineStr">
        <is>
          <t>Минимизация данных, шифрование, DPA, логирование</t>
        </is>
      </c>
    </row>
    <row r="10">
      <c r="A10" s="6" t="inlineStr">
        <is>
          <t>Tobacco/vape enforcement</t>
        </is>
      </c>
      <c r="B10" s="6" t="inlineStr">
        <is>
          <t>Sanzioni tabacchi/vape</t>
        </is>
      </c>
      <c r="C10" s="6" t="inlineStr">
        <is>
          <t>Санкции по табаку/вейпам</t>
        </is>
      </c>
      <c r="D10" s="6" t="inlineStr">
        <is>
          <t>Medium / very high impact</t>
        </is>
      </c>
      <c r="E10" s="6" t="inlineStr">
        <is>
          <t>Excluded from base case; licensed-operator model only</t>
        </is>
      </c>
      <c r="F10" s="6" t="inlineStr">
        <is>
          <t>Escluso dal caso base; solo operatore autorizzato</t>
        </is>
      </c>
      <c r="G10" s="6" t="inlineStr">
        <is>
          <t>Исключено из базового сценария; только через лицензированного оператора</t>
        </is>
      </c>
    </row>
    <row r="11">
      <c r="A11" s="6" t="inlineStr">
        <is>
          <t>Robot economics fail for SMB</t>
        </is>
      </c>
      <c r="B11" s="6" t="inlineStr">
        <is>
          <t>Economia robot non sostenibile per PMI</t>
        </is>
      </c>
      <c r="C11" s="6" t="inlineStr">
        <is>
          <t>Экономика роботов не сходится для SMB</t>
        </is>
      </c>
      <c r="D11" s="6" t="inlineStr">
        <is>
          <t>High</t>
        </is>
      </c>
      <c r="E11" s="6" t="inlineStr">
        <is>
          <t>Robot-agnostic software first; pilot only at 80+ rooms</t>
        </is>
      </c>
      <c r="F11" s="6" t="inlineStr">
        <is>
          <t>Software agnostico prima; pilota solo da 80+ camere</t>
        </is>
      </c>
      <c r="G11" s="6" t="inlineStr">
        <is>
          <t>Сначала robot-agnostic софт; пилот только от 80+ номеров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2026-10-13T16:15:51Z</dcterms:created>
  <dcterms:modified xmlns:dcterms="http://purl.org/dc/terms/" xmlns:xsi="http://www.w3.org/2001/XMLSchema-instance" xsi:type="dcterms:W3CDTF">2026-10-13T16:15:51Z</dcterms:modified>
</cp:coreProperties>
</file>