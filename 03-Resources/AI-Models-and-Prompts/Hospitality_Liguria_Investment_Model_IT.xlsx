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DirectCosts" sheetId="5" state="visible" r:id="rId5"/>
    <sheet xmlns:r="http://schemas.openxmlformats.org/officeDocument/2006/relationships" name="Capex" sheetId="6" state="visible" r:id="rId6"/>
    <sheet xmlns:r="http://schemas.openxmlformats.org/officeDocument/2006/relationships" name="PnL" sheetId="7" state="visible" r:id="rId7"/>
    <sheet xmlns:r="http://schemas.openxmlformats.org/officeDocument/2006/relationships" name="CashFlow" sheetId="8" state="visible" r:id="rId8"/>
    <sheet xmlns:r="http://schemas.openxmlformats.org/officeDocument/2006/relationships" name="UnitEcon" sheetId="9" state="visible" r:id="rId9"/>
    <sheet xmlns:r="http://schemas.openxmlformats.org/officeDocument/2006/relationships" name="Scope" sheetId="10" state="visible" r:id="rId10"/>
    <sheet xmlns:r="http://schemas.openxmlformats.org/officeDocument/2006/relationships" name="Trends" sheetId="11" state="visible" r:id="rId11"/>
    <sheet xmlns:r="http://schemas.openxmlformats.org/officeDocument/2006/relationships" name="Software" sheetId="12" state="visible" r:id="rId12"/>
    <sheet xmlns:r="http://schemas.openxmlformats.org/officeDocument/2006/relationships" name="ChinaOEM" sheetId="13" state="visible" r:id="rId13"/>
    <sheet xmlns:r="http://schemas.openxmlformats.org/officeDocument/2006/relationships" name="Licences" sheetId="14" state="visible" r:id="rId14"/>
    <sheet xmlns:r="http://schemas.openxmlformats.org/officeDocument/2006/relationships" name="Risks" sheetId="15" state="visible" r:id="rId15"/>
    <sheet xmlns:r="http://schemas.openxmlformats.org/officeDocument/2006/relationships" name="Longevity" sheetId="16" state="visible" r:id="rId16"/>
    <sheet xmlns:r="http://schemas.openxmlformats.org/officeDocument/2006/relationships" name="Sour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-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</font>
    <font>
      <name val="Calibri"/>
      <color rgb="000000FF"/>
    </font>
    <font>
      <name val="Calibri"/>
      <b val="1"/>
      <color rgb="00FFFFFF"/>
    </font>
    <font>
      <name val="Calibri"/>
      <b val="1"/>
      <sz val="14"/>
    </font>
    <font>
      <name val="Calibri"/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62" customWidth="1" min="1" max="1"/>
    <col width="22" customWidth="1" min="2" max="2"/>
  </cols>
  <sheetData>
    <row r="1">
      <c r="A1" s="1" t="inlineStr">
        <is>
          <t>Modello di ingresso nel mercato Liguria: SaaS agentico + IoT/hardware per ospiti (EUR)</t>
        </is>
      </c>
    </row>
    <row r="2">
      <c r="A2" t="inlineStr">
        <is>
          <t>Celle blu = ipotesi di pianificazione (NON dati di mercato verificati). Sostituire con preventivi fornitori e risultati pilota.</t>
        </is>
      </c>
    </row>
    <row r="3">
      <c r="A3" s="2" t="inlineStr">
        <is>
          <t>Indicatore</t>
        </is>
      </c>
      <c r="B3" s="2" t="inlineStr">
        <is>
          <t>Valore</t>
        </is>
      </c>
    </row>
    <row r="4">
      <c r="A4" t="inlineStr">
        <is>
          <t>Scenario attivo</t>
        </is>
      </c>
      <c r="B4">
        <f>CHOOSE(Assumptions!B3,"Lean","Base","Regionale")</f>
        <v/>
      </c>
    </row>
    <row r="5">
      <c r="A5" t="inlineStr">
        <is>
          <t>Ricavi Anno 1 (EUR)</t>
        </is>
      </c>
      <c r="B5" s="3">
        <f>PnL!Z6</f>
        <v/>
      </c>
    </row>
    <row r="6">
      <c r="A6" t="inlineStr">
        <is>
          <t>Ricavi Anno 2 (EUR)</t>
        </is>
      </c>
      <c r="B6" s="3">
        <f>PnL!AA6</f>
        <v/>
      </c>
    </row>
    <row r="7">
      <c r="A7" t="inlineStr">
        <is>
          <t>EBITDA Anno 1 (EUR)</t>
        </is>
      </c>
      <c r="B7" s="3">
        <f>PnL!Z12</f>
        <v/>
      </c>
    </row>
    <row r="8">
      <c r="A8" t="inlineStr">
        <is>
          <t>EBITDA Anno 2 (EUR)</t>
        </is>
      </c>
      <c r="B8" s="3">
        <f>PnL!AA12</f>
        <v/>
      </c>
    </row>
    <row r="9">
      <c r="A9" t="inlineStr">
        <is>
          <t>Utile netto 24 mesi (EUR)</t>
        </is>
      </c>
      <c r="B9" s="3">
        <f>PnL!AB16</f>
        <v/>
      </c>
    </row>
    <row r="10">
      <c r="A10" t="inlineStr">
        <is>
          <t>Capex 24 mesi (EUR)</t>
        </is>
      </c>
      <c r="B10" s="3">
        <f>Capex!AB15</f>
        <v/>
      </c>
    </row>
    <row r="11">
      <c r="A11" t="inlineStr">
        <is>
          <t>Fabbisogno finanziario massimo (EUR)</t>
        </is>
      </c>
      <c r="B11" s="3">
        <f>MAX(0,-MIN(CashFlow!B10:Y10))</f>
        <v/>
      </c>
    </row>
    <row r="12">
      <c r="A12" t="inlineStr">
        <is>
          <t>Primo mese EBITDA positivo</t>
        </is>
      </c>
      <c r="B12" s="4">
        <f>IF(MIN(PnL!B18:Y18)=999,"n/a",MIN(PnL!B18:Y18))</f>
        <v/>
      </c>
    </row>
    <row r="13">
      <c r="A13" t="inlineStr">
        <is>
          <t>Cassa finale a M24 (EUR)</t>
        </is>
      </c>
      <c r="B13" s="3">
        <f>CashFlow!Y9</f>
        <v/>
      </c>
    </row>
    <row r="14">
      <c r="A14" t="inlineStr">
        <is>
          <t>Installazioni modulo a M24</t>
        </is>
      </c>
      <c r="B14" s="4">
        <f>SUM(Customers!Y4:Y14)</f>
        <v/>
      </c>
    </row>
    <row r="17">
      <c r="A17" s="5" t="inlineStr">
        <is>
          <t>Ancore di mercato verificate (Liguria 2025, Regione Liguria)</t>
        </is>
      </c>
    </row>
    <row r="18">
      <c r="A18" t="inlineStr">
        <is>
          <t>Arrivi, strutture ricettive</t>
        </is>
      </c>
      <c r="B18" s="6" t="n">
        <v>5306612</v>
      </c>
    </row>
    <row r="19">
      <c r="A19" t="inlineStr">
        <is>
          <t>Presenze, strutture ricettive</t>
        </is>
      </c>
      <c r="B19" s="6" t="n">
        <v>15963328</v>
      </c>
    </row>
    <row r="20">
      <c r="A20" t="inlineStr">
        <is>
          <t>Presenze incl. AAUT</t>
        </is>
      </c>
      <c r="B20" s="6" t="n">
        <v>20702403</v>
      </c>
    </row>
    <row r="21">
      <c r="A21" t="inlineStr">
        <is>
          <t>Presenze, alberghiere</t>
        </is>
      </c>
      <c r="B21" s="6" t="n">
        <v>9304836</v>
      </c>
    </row>
    <row r="22">
      <c r="A22" t="inlineStr">
        <is>
          <t>Presenze, extralberghiere</t>
        </is>
      </c>
      <c r="B22" s="6" t="n">
        <v>6658492</v>
      </c>
    </row>
    <row r="24">
      <c r="A24" s="5" t="inlineStr">
        <is>
          <t>Indice dei fogli</t>
        </is>
      </c>
    </row>
    <row r="25">
      <c r="A25" s="7" t="inlineStr">
        <is>
          <t>Assumptions</t>
        </is>
      </c>
    </row>
    <row r="26">
      <c r="A26" s="7" t="inlineStr">
        <is>
          <t>Customers</t>
        </is>
      </c>
    </row>
    <row r="27">
      <c r="A27" s="7" t="inlineStr">
        <is>
          <t>Revenue</t>
        </is>
      </c>
    </row>
    <row r="28">
      <c r="A28" s="7" t="inlineStr">
        <is>
          <t>DirectCosts</t>
        </is>
      </c>
    </row>
    <row r="29">
      <c r="A29" s="7" t="inlineStr">
        <is>
          <t>Capex</t>
        </is>
      </c>
    </row>
    <row r="30">
      <c r="A30" s="7" t="inlineStr">
        <is>
          <t>PnL</t>
        </is>
      </c>
    </row>
    <row r="31">
      <c r="A31" s="7" t="inlineStr">
        <is>
          <t>CashFlow</t>
        </is>
      </c>
    </row>
    <row r="32">
      <c r="A32" s="7" t="inlineStr">
        <is>
          <t>UnitEcon</t>
        </is>
      </c>
    </row>
    <row r="33">
      <c r="A33" s="7" t="inlineStr">
        <is>
          <t>Scope</t>
        </is>
      </c>
    </row>
    <row r="34">
      <c r="A34" s="7" t="inlineStr">
        <is>
          <t>Trends</t>
        </is>
      </c>
    </row>
    <row r="35">
      <c r="A35" s="7" t="inlineStr">
        <is>
          <t>Software</t>
        </is>
      </c>
    </row>
    <row r="36">
      <c r="A36" s="7" t="inlineStr">
        <is>
          <t>ChinaOEM</t>
        </is>
      </c>
    </row>
    <row r="37">
      <c r="A37" s="7" t="inlineStr">
        <is>
          <t>Licences</t>
        </is>
      </c>
    </row>
    <row r="38">
      <c r="A38" s="7" t="inlineStr">
        <is>
          <t>Risks</t>
        </is>
      </c>
    </row>
    <row r="39">
      <c r="A39" s="7" t="inlineStr">
        <is>
          <t>Longevity</t>
        </is>
      </c>
    </row>
    <row r="40">
      <c r="A40" s="7" t="inlineStr">
        <is>
          <t>Sources</t>
        </is>
      </c>
    </row>
  </sheetData>
  <hyperlinks>
    <hyperlink ref="A25" location="'Assumptions'!A1"/>
    <hyperlink ref="A26" location="'Customers'!A1"/>
    <hyperlink ref="A27" location="'Revenue'!A1"/>
    <hyperlink ref="A28" location="'DirectCosts'!A1"/>
    <hyperlink ref="A29" location="'Capex'!A1"/>
    <hyperlink ref="A30" location="'PnL'!A1"/>
    <hyperlink ref="A31" location="'CashFlow'!A1"/>
    <hyperlink ref="A32" location="'UnitEcon'!A1"/>
    <hyperlink ref="A33" location="'Scope'!A1"/>
    <hyperlink ref="A34" location="'Trends'!A1"/>
    <hyperlink ref="A35" location="'Software'!A1"/>
    <hyperlink ref="A36" location="'ChinaOEM'!A1"/>
    <hyperlink ref="A37" location="'Licences'!A1"/>
    <hyperlink ref="A38" location="'Risks'!A1"/>
    <hyperlink ref="A39" location="'Longevity'!A1"/>
    <hyperlink ref="A40" location="'Source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Modello di ingresso nel mercato Liguria: SaaS agentico + IoT/hardware per ospiti (EUR)</t>
        </is>
      </c>
    </row>
    <row r="2">
      <c r="A2" t="inlineStr">
        <is>
          <t>Celle blu = ipotesi di pianificazione (NON dati di mercato verificati). Sostituire con preventivi fornitori e risultati pilota.</t>
        </is>
      </c>
    </row>
    <row r="3">
      <c r="A3" t="inlineStr">
        <is>
          <t>Scenario (1=Lean, 2=Base, 3=Regionale)</t>
        </is>
      </c>
      <c r="B3" s="8" t="n">
        <v>2</v>
      </c>
    </row>
    <row r="4">
      <c r="A4" t="inlineStr">
        <is>
          <t>Moltiplicatore adozione (attivo)</t>
        </is>
      </c>
      <c r="B4">
        <f>CHOOSE(B3,B5,B6,B7)</f>
        <v/>
      </c>
    </row>
    <row r="5">
      <c r="A5" t="inlineStr">
        <is>
          <t>Lean</t>
        </is>
      </c>
      <c r="B5" s="8" t="n">
        <v>0.5</v>
      </c>
    </row>
    <row r="6">
      <c r="A6" t="inlineStr">
        <is>
          <t>Base</t>
        </is>
      </c>
      <c r="B6" s="8" t="n">
        <v>1</v>
      </c>
    </row>
    <row r="7">
      <c r="A7" t="inlineStr">
        <is>
          <t>Regionale</t>
        </is>
      </c>
      <c r="B7" s="8" t="n">
        <v>1.8</v>
      </c>
    </row>
    <row r="9">
      <c r="A9" t="inlineStr">
        <is>
          <t>Periodo ammortamento (mesi)</t>
        </is>
      </c>
      <c r="B9" s="9" t="n">
        <v>36</v>
      </c>
    </row>
    <row r="10">
      <c r="A10" t="inlineStr">
        <is>
          <t>Contingenza capex %</t>
        </is>
      </c>
      <c r="B10" s="10" t="n">
        <v>0.1</v>
      </c>
    </row>
    <row r="11">
      <c r="A11" t="inlineStr">
        <is>
          <t>Aliquota imposte (IRES+IRAP semplificata)</t>
        </is>
      </c>
      <c r="B11" s="10" t="n">
        <v>0.279</v>
      </c>
    </row>
    <row r="12">
      <c r="A12" t="inlineStr">
        <is>
          <t>Cassa iniziale (EUR)</t>
        </is>
      </c>
      <c r="B12" s="11" t="n">
        <v>0</v>
      </c>
    </row>
    <row r="15">
      <c r="A15" s="2" t="inlineStr">
        <is>
          <t>Categoria</t>
        </is>
      </c>
      <c r="B15" s="2" t="inlineStr">
        <is>
          <t>Mese di avvio</t>
        </is>
      </c>
      <c r="C15" s="2" t="inlineStr">
        <is>
          <t>Strutture a M12 (base)</t>
        </is>
      </c>
      <c r="D15" s="2" t="inlineStr">
        <is>
          <t>Strutture a M24 (base)</t>
        </is>
      </c>
      <c r="E15" s="2" t="inlineStr">
        <is>
          <t>Unità per struttura</t>
        </is>
      </c>
      <c r="F15" s="2" t="inlineStr">
        <is>
          <t>Costo sbarcato per unità (EUR)</t>
        </is>
      </c>
      <c r="G15" s="2" t="inlineStr">
        <is>
          <t>Installazione per unità (EUR)</t>
        </is>
      </c>
      <c r="H15" s="2" t="inlineStr">
        <is>
          <t>Canone setup per struttura (EUR)</t>
        </is>
      </c>
      <c r="I15" s="2" t="inlineStr">
        <is>
          <t>Canone mensile per struttura (EUR)</t>
        </is>
      </c>
      <c r="J15" s="2" t="inlineStr">
        <is>
          <t>Costo variabile % ricavi ricorrenti</t>
        </is>
      </c>
    </row>
    <row r="16">
      <c r="A16" t="inlineStr">
        <is>
          <t>Hotel Agent OS (agenti AI operativi)</t>
        </is>
      </c>
      <c r="B16" s="9" t="n">
        <v>3</v>
      </c>
      <c r="C16" s="9" t="n">
        <v>12</v>
      </c>
      <c r="D16" s="9" t="n">
        <v>40</v>
      </c>
      <c r="E16" s="9" t="n">
        <v>1</v>
      </c>
      <c r="F16" s="11" t="n">
        <v>0</v>
      </c>
      <c r="G16" s="11" t="n">
        <v>600</v>
      </c>
      <c r="H16" s="11" t="n">
        <v>1500</v>
      </c>
      <c r="I16" s="11" t="n">
        <v>350</v>
      </c>
      <c r="J16" s="10" t="n">
        <v>0.25</v>
      </c>
    </row>
    <row r="17">
      <c r="A17" t="inlineStr">
        <is>
          <t>GuestNode Lobby (terminale in reception)</t>
        </is>
      </c>
      <c r="B17" s="9" t="n">
        <v>4</v>
      </c>
      <c r="C17" s="9" t="n">
        <v>8</v>
      </c>
      <c r="D17" s="9" t="n">
        <v>25</v>
      </c>
      <c r="E17" s="9" t="n">
        <v>1</v>
      </c>
      <c r="F17" s="11" t="n">
        <v>450</v>
      </c>
      <c r="G17" s="11" t="n">
        <v>150</v>
      </c>
      <c r="H17" s="11" t="n">
        <v>300</v>
      </c>
      <c r="I17" s="11" t="n">
        <v>120</v>
      </c>
      <c r="J17" s="10" t="n">
        <v>0.2</v>
      </c>
    </row>
    <row r="18">
      <c r="A18" t="inlineStr">
        <is>
          <t>GuestNode in camera</t>
        </is>
      </c>
      <c r="B18" s="9" t="n">
        <v>8</v>
      </c>
      <c r="C18" s="9" t="n">
        <v>3</v>
      </c>
      <c r="D18" s="9" t="n">
        <v>12</v>
      </c>
      <c r="E18" s="9" t="n">
        <v>15</v>
      </c>
      <c r="F18" s="11" t="n">
        <v>120</v>
      </c>
      <c r="G18" s="11" t="n">
        <v>25</v>
      </c>
      <c r="H18" s="11" t="n">
        <v>500</v>
      </c>
      <c r="I18" s="11" t="n">
        <v>90</v>
      </c>
      <c r="J18" s="10" t="n">
        <v>0.2</v>
      </c>
    </row>
    <row r="19">
      <c r="A19" t="inlineStr">
        <is>
          <t>Smart Travel Wall (vending/micro-market)</t>
        </is>
      </c>
      <c r="B19" s="9" t="n">
        <v>5</v>
      </c>
      <c r="C19" s="9" t="n">
        <v>6</v>
      </c>
      <c r="D19" s="9" t="n">
        <v>20</v>
      </c>
      <c r="E19" s="9" t="n">
        <v>1</v>
      </c>
      <c r="F19" s="11" t="n">
        <v>3500</v>
      </c>
      <c r="G19" s="11" t="n">
        <v>400</v>
      </c>
      <c r="H19" s="11" t="n">
        <v>500</v>
      </c>
      <c r="I19" s="11" t="n">
        <v>250</v>
      </c>
      <c r="J19" s="10" t="n">
        <v>0.3</v>
      </c>
    </row>
    <row r="20">
      <c r="A20" t="inlineStr">
        <is>
          <t>Armadietti a noleggio</t>
        </is>
      </c>
      <c r="B20" s="9" t="n">
        <v>6</v>
      </c>
      <c r="C20" s="9" t="n">
        <v>6</v>
      </c>
      <c r="D20" s="9" t="n">
        <v>18</v>
      </c>
      <c r="E20" s="9" t="n">
        <v>1</v>
      </c>
      <c r="F20" s="11" t="n">
        <v>1800</v>
      </c>
      <c r="G20" s="11" t="n">
        <v>250</v>
      </c>
      <c r="H20" s="11" t="n">
        <v>200</v>
      </c>
      <c r="I20" s="11" t="n">
        <v>120</v>
      </c>
      <c r="J20" s="10" t="n">
        <v>0.2</v>
      </c>
    </row>
    <row r="21">
      <c r="A21" t="inlineStr">
        <is>
          <t>Armadietti bagagli</t>
        </is>
      </c>
      <c r="B21" s="9" t="n">
        <v>7</v>
      </c>
      <c r="C21" s="9" t="n">
        <v>4</v>
      </c>
      <c r="D21" s="9" t="n">
        <v>12</v>
      </c>
      <c r="E21" s="9" t="n">
        <v>1</v>
      </c>
      <c r="F21" s="11" t="n">
        <v>2800</v>
      </c>
      <c r="G21" s="11" t="n">
        <v>400</v>
      </c>
      <c r="H21" s="11" t="n">
        <v>300</v>
      </c>
      <c r="I21" s="11" t="n">
        <v>200</v>
      </c>
      <c r="J21" s="10" t="n">
        <v>0.15</v>
      </c>
    </row>
    <row r="22">
      <c r="A22" t="inlineStr">
        <is>
          <t>Noleggio power bank</t>
        </is>
      </c>
      <c r="B22" s="9" t="n">
        <v>7</v>
      </c>
      <c r="C22" s="9" t="n">
        <v>5</v>
      </c>
      <c r="D22" s="9" t="n">
        <v>15</v>
      </c>
      <c r="E22" s="9" t="n">
        <v>1</v>
      </c>
      <c r="F22" s="11" t="n">
        <v>1200</v>
      </c>
      <c r="G22" s="11" t="n">
        <v>100</v>
      </c>
      <c r="H22" s="11" t="n">
        <v>0</v>
      </c>
      <c r="I22" s="11" t="n">
        <v>110</v>
      </c>
      <c r="J22" s="10" t="n">
        <v>0.25</v>
      </c>
    </row>
    <row r="23">
      <c r="A23" t="inlineStr">
        <is>
          <t>Kit IoT Energia</t>
        </is>
      </c>
      <c r="B23" s="9" t="n">
        <v>5</v>
      </c>
      <c r="C23" s="9" t="n">
        <v>5</v>
      </c>
      <c r="D23" s="9" t="n">
        <v>20</v>
      </c>
      <c r="E23" s="9" t="n">
        <v>20</v>
      </c>
      <c r="F23" s="11" t="n">
        <v>70</v>
      </c>
      <c r="G23" s="11" t="n">
        <v>30</v>
      </c>
      <c r="H23" s="11" t="n">
        <v>800</v>
      </c>
      <c r="I23" s="11" t="n">
        <v>160</v>
      </c>
      <c r="J23" s="10" t="n">
        <v>0.15</v>
      </c>
    </row>
    <row r="24">
      <c r="A24" t="inlineStr">
        <is>
          <t>Healthy Room IoT (qualità aria)</t>
        </is>
      </c>
      <c r="B24" s="9" t="n">
        <v>12</v>
      </c>
      <c r="C24" s="9" t="n">
        <v>2</v>
      </c>
      <c r="D24" s="9" t="n">
        <v>8</v>
      </c>
      <c r="E24" s="9" t="n">
        <v>10</v>
      </c>
      <c r="F24" s="11" t="n">
        <v>55</v>
      </c>
      <c r="G24" s="11" t="n">
        <v>15</v>
      </c>
      <c r="H24" s="11" t="n">
        <v>300</v>
      </c>
      <c r="I24" s="11" t="n">
        <v>60</v>
      </c>
      <c r="J24" s="10" t="n">
        <v>0.15</v>
      </c>
    </row>
    <row r="25">
      <c r="A25" t="inlineStr">
        <is>
          <t>Marketplace locale (tour, transfer, eSIM)</t>
        </is>
      </c>
      <c r="B25" s="9" t="n">
        <v>6</v>
      </c>
      <c r="C25" s="9" t="n">
        <v>10</v>
      </c>
      <c r="D25" s="9" t="n">
        <v>35</v>
      </c>
      <c r="E25" s="9" t="n">
        <v>0</v>
      </c>
      <c r="F25" s="11" t="n">
        <v>0</v>
      </c>
      <c r="G25" s="11" t="n">
        <v>0</v>
      </c>
      <c r="H25" s="11" t="n">
        <v>0</v>
      </c>
      <c r="I25" s="11" t="n">
        <v>90</v>
      </c>
      <c r="J25" s="10" t="n">
        <v>0.2</v>
      </c>
    </row>
    <row r="26">
      <c r="A26" t="inlineStr">
        <is>
          <t>Vending regolamentato tramite partner autorizzato (opzione, OFF nel base)</t>
        </is>
      </c>
      <c r="B26" s="9" t="n">
        <v>18</v>
      </c>
      <c r="C26" s="9" t="n">
        <v>0</v>
      </c>
      <c r="D26" s="9" t="n">
        <v>0</v>
      </c>
      <c r="E26" s="9" t="n">
        <v>1</v>
      </c>
      <c r="F26" s="11" t="n">
        <v>3000</v>
      </c>
      <c r="G26" s="11" t="n">
        <v>400</v>
      </c>
      <c r="H26" s="11" t="n">
        <v>0</v>
      </c>
      <c r="I26" s="11" t="n">
        <v>200</v>
      </c>
      <c r="J26" s="10" t="n">
        <v>0.3</v>
      </c>
    </row>
    <row r="30">
      <c r="A30" s="2" t="inlineStr">
        <is>
          <t>Costo fisso (EUR/mese)</t>
        </is>
      </c>
      <c r="B30" s="2" t="inlineStr">
        <is>
          <t>Importo (EUR)</t>
        </is>
      </c>
      <c r="C30" s="2" t="inlineStr">
        <is>
          <t>Mese di avvio</t>
        </is>
      </c>
    </row>
    <row r="31">
      <c r="A31" t="inlineStr">
        <is>
          <t>Ingegnere FDE / integrazioni</t>
        </is>
      </c>
      <c r="B31" s="11" t="n">
        <v>3500</v>
      </c>
      <c r="C31" s="8" t="n">
        <v>1</v>
      </c>
    </row>
    <row r="32">
      <c r="A32" t="inlineStr">
        <is>
          <t>Vendite e partnership</t>
        </is>
      </c>
      <c r="B32" s="11" t="n">
        <v>2500</v>
      </c>
      <c r="C32" s="8" t="n">
        <v>3</v>
      </c>
    </row>
    <row r="33">
      <c r="A33" t="inlineStr">
        <is>
          <t>Supporto e coordinamento installatori</t>
        </is>
      </c>
      <c r="B33" s="11" t="n">
        <v>1800</v>
      </c>
      <c r="C33" s="8" t="n">
        <v>6</v>
      </c>
    </row>
    <row r="34">
      <c r="A34" t="inlineStr">
        <is>
          <t>Cloud, LLM base, strumenti</t>
        </is>
      </c>
      <c r="B34" s="11" t="n">
        <v>600</v>
      </c>
      <c r="C34" s="8" t="n">
        <v>1</v>
      </c>
    </row>
    <row r="35">
      <c r="A35" t="inlineStr">
        <is>
          <t>Marketing ed eventi (TTG, Hospitality Day)</t>
        </is>
      </c>
      <c r="B35" s="11" t="n">
        <v>1200</v>
      </c>
      <c r="C35" s="8" t="n">
        <v>1</v>
      </c>
    </row>
    <row r="36">
      <c r="A36" t="inlineStr">
        <is>
          <t>Legale, privacy, contabilità</t>
        </is>
      </c>
      <c r="B36" s="11" t="n">
        <v>900</v>
      </c>
      <c r="C36" s="8" t="n">
        <v>1</v>
      </c>
    </row>
    <row r="37">
      <c r="A37" t="inlineStr">
        <is>
          <t>Assicurazione e piccolo magazzino</t>
        </is>
      </c>
      <c r="B37" s="11" t="n">
        <v>500</v>
      </c>
      <c r="C37" s="8" t="n">
        <v>4</v>
      </c>
    </row>
    <row r="41">
      <c r="A41" s="2" t="inlineStr">
        <is>
          <t>Costo una tantum (EUR)</t>
        </is>
      </c>
      <c r="B41" s="2" t="inlineStr">
        <is>
          <t>Importo (EUR)</t>
        </is>
      </c>
      <c r="C41" s="2" t="inlineStr">
        <is>
          <t>Mese</t>
        </is>
      </c>
    </row>
    <row r="42">
      <c r="A42" t="inlineStr">
        <is>
          <t>Audit conformità + campioni hardware</t>
        </is>
      </c>
      <c r="B42" s="11" t="n">
        <v>15000</v>
      </c>
      <c r="C42" s="8" t="n">
        <v>1</v>
      </c>
    </row>
    <row r="43">
      <c r="A43" t="inlineStr">
        <is>
          <t>Setup legale / privacy / contratti</t>
        </is>
      </c>
      <c r="B43" s="11" t="n">
        <v>5000</v>
      </c>
      <c r="C43" s="8" t="n">
        <v>1</v>
      </c>
    </row>
    <row r="44">
      <c r="A44" t="inlineStr">
        <is>
          <t>Kit demo e hardware pilota</t>
        </is>
      </c>
      <c r="B44" s="11" t="n">
        <v>8000</v>
      </c>
      <c r="C44" s="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5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>
      <c r="A1" s="5" t="inlineStr">
        <is>
          <t>Strutture per modulo (scenario attivo)</t>
        </is>
      </c>
    </row>
    <row r="3">
      <c r="A3" s="2" t="inlineStr">
        <is>
          <t>Categoria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n">
        <v>13</v>
      </c>
      <c r="O3" s="2" t="n">
        <v>14</v>
      </c>
      <c r="P3" s="2" t="n">
        <v>15</v>
      </c>
      <c r="Q3" s="2" t="n">
        <v>16</v>
      </c>
      <c r="R3" s="2" t="n">
        <v>17</v>
      </c>
      <c r="S3" s="2" t="n">
        <v>18</v>
      </c>
      <c r="T3" s="2" t="n">
        <v>19</v>
      </c>
      <c r="U3" s="2" t="n">
        <v>20</v>
      </c>
      <c r="V3" s="2" t="n">
        <v>21</v>
      </c>
      <c r="W3" s="2" t="n">
        <v>22</v>
      </c>
      <c r="X3" s="2" t="n">
        <v>23</v>
      </c>
      <c r="Y3" s="2" t="n">
        <v>24</v>
      </c>
    </row>
    <row r="4">
      <c r="A4" t="inlineStr">
        <is>
          <t>Hotel Agent OS (agenti AI operativi)</t>
        </is>
      </c>
      <c r="B4" s="4">
        <f>ROUND(IF(B$3&lt;Assumptions!$B16,0,IF(B$3&lt;=12,Assumptions!$C16*Assumptions!$B$4*(B$3-Assumptions!$B16+1)/MAX(1,12-Assumptions!$B16+1),Assumptions!$C16*Assumptions!$B$4+(Assumptions!$D16-Assumptions!$C16)*Assumptions!$B$4*(B$3-12)/12)),0)</f>
        <v/>
      </c>
      <c r="C4" s="4">
        <f>ROUND(IF(C$3&lt;Assumptions!$B16,0,IF(C$3&lt;=12,Assumptions!$C16*Assumptions!$B$4*(C$3-Assumptions!$B16+1)/MAX(1,12-Assumptions!$B16+1),Assumptions!$C16*Assumptions!$B$4+(Assumptions!$D16-Assumptions!$C16)*Assumptions!$B$4*(C$3-12)/12)),0)</f>
        <v/>
      </c>
      <c r="D4" s="4">
        <f>ROUND(IF(D$3&lt;Assumptions!$B16,0,IF(D$3&lt;=12,Assumptions!$C16*Assumptions!$B$4*(D$3-Assumptions!$B16+1)/MAX(1,12-Assumptions!$B16+1),Assumptions!$C16*Assumptions!$B$4+(Assumptions!$D16-Assumptions!$C16)*Assumptions!$B$4*(D$3-12)/12)),0)</f>
        <v/>
      </c>
      <c r="E4" s="4">
        <f>ROUND(IF(E$3&lt;Assumptions!$B16,0,IF(E$3&lt;=12,Assumptions!$C16*Assumptions!$B$4*(E$3-Assumptions!$B16+1)/MAX(1,12-Assumptions!$B16+1),Assumptions!$C16*Assumptions!$B$4+(Assumptions!$D16-Assumptions!$C16)*Assumptions!$B$4*(E$3-12)/12)),0)</f>
        <v/>
      </c>
      <c r="F4" s="4">
        <f>ROUND(IF(F$3&lt;Assumptions!$B16,0,IF(F$3&lt;=12,Assumptions!$C16*Assumptions!$B$4*(F$3-Assumptions!$B16+1)/MAX(1,12-Assumptions!$B16+1),Assumptions!$C16*Assumptions!$B$4+(Assumptions!$D16-Assumptions!$C16)*Assumptions!$B$4*(F$3-12)/12)),0)</f>
        <v/>
      </c>
      <c r="G4" s="4">
        <f>ROUND(IF(G$3&lt;Assumptions!$B16,0,IF(G$3&lt;=12,Assumptions!$C16*Assumptions!$B$4*(G$3-Assumptions!$B16+1)/MAX(1,12-Assumptions!$B16+1),Assumptions!$C16*Assumptions!$B$4+(Assumptions!$D16-Assumptions!$C16)*Assumptions!$B$4*(G$3-12)/12)),0)</f>
        <v/>
      </c>
      <c r="H4" s="4">
        <f>ROUND(IF(H$3&lt;Assumptions!$B16,0,IF(H$3&lt;=12,Assumptions!$C16*Assumptions!$B$4*(H$3-Assumptions!$B16+1)/MAX(1,12-Assumptions!$B16+1),Assumptions!$C16*Assumptions!$B$4+(Assumptions!$D16-Assumptions!$C16)*Assumptions!$B$4*(H$3-12)/12)),0)</f>
        <v/>
      </c>
      <c r="I4" s="4">
        <f>ROUND(IF(I$3&lt;Assumptions!$B16,0,IF(I$3&lt;=12,Assumptions!$C16*Assumptions!$B$4*(I$3-Assumptions!$B16+1)/MAX(1,12-Assumptions!$B16+1),Assumptions!$C16*Assumptions!$B$4+(Assumptions!$D16-Assumptions!$C16)*Assumptions!$B$4*(I$3-12)/12)),0)</f>
        <v/>
      </c>
      <c r="J4" s="4">
        <f>ROUND(IF(J$3&lt;Assumptions!$B16,0,IF(J$3&lt;=12,Assumptions!$C16*Assumptions!$B$4*(J$3-Assumptions!$B16+1)/MAX(1,12-Assumptions!$B16+1),Assumptions!$C16*Assumptions!$B$4+(Assumptions!$D16-Assumptions!$C16)*Assumptions!$B$4*(J$3-12)/12)),0)</f>
        <v/>
      </c>
      <c r="K4" s="4">
        <f>ROUND(IF(K$3&lt;Assumptions!$B16,0,IF(K$3&lt;=12,Assumptions!$C16*Assumptions!$B$4*(K$3-Assumptions!$B16+1)/MAX(1,12-Assumptions!$B16+1),Assumptions!$C16*Assumptions!$B$4+(Assumptions!$D16-Assumptions!$C16)*Assumptions!$B$4*(K$3-12)/12)),0)</f>
        <v/>
      </c>
      <c r="L4" s="4">
        <f>ROUND(IF(L$3&lt;Assumptions!$B16,0,IF(L$3&lt;=12,Assumptions!$C16*Assumptions!$B$4*(L$3-Assumptions!$B16+1)/MAX(1,12-Assumptions!$B16+1),Assumptions!$C16*Assumptions!$B$4+(Assumptions!$D16-Assumptions!$C16)*Assumptions!$B$4*(L$3-12)/12)),0)</f>
        <v/>
      </c>
      <c r="M4" s="4">
        <f>ROUND(IF(M$3&lt;Assumptions!$B16,0,IF(M$3&lt;=12,Assumptions!$C16*Assumptions!$B$4*(M$3-Assumptions!$B16+1)/MAX(1,12-Assumptions!$B16+1),Assumptions!$C16*Assumptions!$B$4+(Assumptions!$D16-Assumptions!$C16)*Assumptions!$B$4*(M$3-12)/12)),0)</f>
        <v/>
      </c>
      <c r="N4" s="4">
        <f>ROUND(IF(N$3&lt;Assumptions!$B16,0,IF(N$3&lt;=12,Assumptions!$C16*Assumptions!$B$4*(N$3-Assumptions!$B16+1)/MAX(1,12-Assumptions!$B16+1),Assumptions!$C16*Assumptions!$B$4+(Assumptions!$D16-Assumptions!$C16)*Assumptions!$B$4*(N$3-12)/12)),0)</f>
        <v/>
      </c>
      <c r="O4" s="4">
        <f>ROUND(IF(O$3&lt;Assumptions!$B16,0,IF(O$3&lt;=12,Assumptions!$C16*Assumptions!$B$4*(O$3-Assumptions!$B16+1)/MAX(1,12-Assumptions!$B16+1),Assumptions!$C16*Assumptions!$B$4+(Assumptions!$D16-Assumptions!$C16)*Assumptions!$B$4*(O$3-12)/12)),0)</f>
        <v/>
      </c>
      <c r="P4" s="4">
        <f>ROUND(IF(P$3&lt;Assumptions!$B16,0,IF(P$3&lt;=12,Assumptions!$C16*Assumptions!$B$4*(P$3-Assumptions!$B16+1)/MAX(1,12-Assumptions!$B16+1),Assumptions!$C16*Assumptions!$B$4+(Assumptions!$D16-Assumptions!$C16)*Assumptions!$B$4*(P$3-12)/12)),0)</f>
        <v/>
      </c>
      <c r="Q4" s="4">
        <f>ROUND(IF(Q$3&lt;Assumptions!$B16,0,IF(Q$3&lt;=12,Assumptions!$C16*Assumptions!$B$4*(Q$3-Assumptions!$B16+1)/MAX(1,12-Assumptions!$B16+1),Assumptions!$C16*Assumptions!$B$4+(Assumptions!$D16-Assumptions!$C16)*Assumptions!$B$4*(Q$3-12)/12)),0)</f>
        <v/>
      </c>
      <c r="R4" s="4">
        <f>ROUND(IF(R$3&lt;Assumptions!$B16,0,IF(R$3&lt;=12,Assumptions!$C16*Assumptions!$B$4*(R$3-Assumptions!$B16+1)/MAX(1,12-Assumptions!$B16+1),Assumptions!$C16*Assumptions!$B$4+(Assumptions!$D16-Assumptions!$C16)*Assumptions!$B$4*(R$3-12)/12)),0)</f>
        <v/>
      </c>
      <c r="S4" s="4">
        <f>ROUND(IF(S$3&lt;Assumptions!$B16,0,IF(S$3&lt;=12,Assumptions!$C16*Assumptions!$B$4*(S$3-Assumptions!$B16+1)/MAX(1,12-Assumptions!$B16+1),Assumptions!$C16*Assumptions!$B$4+(Assumptions!$D16-Assumptions!$C16)*Assumptions!$B$4*(S$3-12)/12)),0)</f>
        <v/>
      </c>
      <c r="T4" s="4">
        <f>ROUND(IF(T$3&lt;Assumptions!$B16,0,IF(T$3&lt;=12,Assumptions!$C16*Assumptions!$B$4*(T$3-Assumptions!$B16+1)/MAX(1,12-Assumptions!$B16+1),Assumptions!$C16*Assumptions!$B$4+(Assumptions!$D16-Assumptions!$C16)*Assumptions!$B$4*(T$3-12)/12)),0)</f>
        <v/>
      </c>
      <c r="U4" s="4">
        <f>ROUND(IF(U$3&lt;Assumptions!$B16,0,IF(U$3&lt;=12,Assumptions!$C16*Assumptions!$B$4*(U$3-Assumptions!$B16+1)/MAX(1,12-Assumptions!$B16+1),Assumptions!$C16*Assumptions!$B$4+(Assumptions!$D16-Assumptions!$C16)*Assumptions!$B$4*(U$3-12)/12)),0)</f>
        <v/>
      </c>
      <c r="V4" s="4">
        <f>ROUND(IF(V$3&lt;Assumptions!$B16,0,IF(V$3&lt;=12,Assumptions!$C16*Assumptions!$B$4*(V$3-Assumptions!$B16+1)/MAX(1,12-Assumptions!$B16+1),Assumptions!$C16*Assumptions!$B$4+(Assumptions!$D16-Assumptions!$C16)*Assumptions!$B$4*(V$3-12)/12)),0)</f>
        <v/>
      </c>
      <c r="W4" s="4">
        <f>ROUND(IF(W$3&lt;Assumptions!$B16,0,IF(W$3&lt;=12,Assumptions!$C16*Assumptions!$B$4*(W$3-Assumptions!$B16+1)/MAX(1,12-Assumptions!$B16+1),Assumptions!$C16*Assumptions!$B$4+(Assumptions!$D16-Assumptions!$C16)*Assumptions!$B$4*(W$3-12)/12)),0)</f>
        <v/>
      </c>
      <c r="X4" s="4">
        <f>ROUND(IF(X$3&lt;Assumptions!$B16,0,IF(X$3&lt;=12,Assumptions!$C16*Assumptions!$B$4*(X$3-Assumptions!$B16+1)/MAX(1,12-Assumptions!$B16+1),Assumptions!$C16*Assumptions!$B$4+(Assumptions!$D16-Assumptions!$C16)*Assumptions!$B$4*(X$3-12)/12)),0)</f>
        <v/>
      </c>
      <c r="Y4" s="4">
        <f>ROUND(IF(Y$3&lt;Assumptions!$B16,0,IF(Y$3&lt;=12,Assumptions!$C16*Assumptions!$B$4*(Y$3-Assumptions!$B16+1)/MAX(1,12-Assumptions!$B16+1),Assumptions!$C16*Assumptions!$B$4+(Assumptions!$D16-Assumptions!$C16)*Assumptions!$B$4*(Y$3-12)/12)),0)</f>
        <v/>
      </c>
    </row>
    <row r="5">
      <c r="A5" t="inlineStr">
        <is>
          <t>GuestNode Lobby (terminale in reception)</t>
        </is>
      </c>
      <c r="B5" s="4">
        <f>ROUND(IF(B$3&lt;Assumptions!$B17,0,IF(B$3&lt;=12,Assumptions!$C17*Assumptions!$B$4*(B$3-Assumptions!$B17+1)/MAX(1,12-Assumptions!$B17+1),Assumptions!$C17*Assumptions!$B$4+(Assumptions!$D17-Assumptions!$C17)*Assumptions!$B$4*(B$3-12)/12)),0)</f>
        <v/>
      </c>
      <c r="C5" s="4">
        <f>ROUND(IF(C$3&lt;Assumptions!$B17,0,IF(C$3&lt;=12,Assumptions!$C17*Assumptions!$B$4*(C$3-Assumptions!$B17+1)/MAX(1,12-Assumptions!$B17+1),Assumptions!$C17*Assumptions!$B$4+(Assumptions!$D17-Assumptions!$C17)*Assumptions!$B$4*(C$3-12)/12)),0)</f>
        <v/>
      </c>
      <c r="D5" s="4">
        <f>ROUND(IF(D$3&lt;Assumptions!$B17,0,IF(D$3&lt;=12,Assumptions!$C17*Assumptions!$B$4*(D$3-Assumptions!$B17+1)/MAX(1,12-Assumptions!$B17+1),Assumptions!$C17*Assumptions!$B$4+(Assumptions!$D17-Assumptions!$C17)*Assumptions!$B$4*(D$3-12)/12)),0)</f>
        <v/>
      </c>
      <c r="E5" s="4">
        <f>ROUND(IF(E$3&lt;Assumptions!$B17,0,IF(E$3&lt;=12,Assumptions!$C17*Assumptions!$B$4*(E$3-Assumptions!$B17+1)/MAX(1,12-Assumptions!$B17+1),Assumptions!$C17*Assumptions!$B$4+(Assumptions!$D17-Assumptions!$C17)*Assumptions!$B$4*(E$3-12)/12)),0)</f>
        <v/>
      </c>
      <c r="F5" s="4">
        <f>ROUND(IF(F$3&lt;Assumptions!$B17,0,IF(F$3&lt;=12,Assumptions!$C17*Assumptions!$B$4*(F$3-Assumptions!$B17+1)/MAX(1,12-Assumptions!$B17+1),Assumptions!$C17*Assumptions!$B$4+(Assumptions!$D17-Assumptions!$C17)*Assumptions!$B$4*(F$3-12)/12)),0)</f>
        <v/>
      </c>
      <c r="G5" s="4">
        <f>ROUND(IF(G$3&lt;Assumptions!$B17,0,IF(G$3&lt;=12,Assumptions!$C17*Assumptions!$B$4*(G$3-Assumptions!$B17+1)/MAX(1,12-Assumptions!$B17+1),Assumptions!$C17*Assumptions!$B$4+(Assumptions!$D17-Assumptions!$C17)*Assumptions!$B$4*(G$3-12)/12)),0)</f>
        <v/>
      </c>
      <c r="H5" s="4">
        <f>ROUND(IF(H$3&lt;Assumptions!$B17,0,IF(H$3&lt;=12,Assumptions!$C17*Assumptions!$B$4*(H$3-Assumptions!$B17+1)/MAX(1,12-Assumptions!$B17+1),Assumptions!$C17*Assumptions!$B$4+(Assumptions!$D17-Assumptions!$C17)*Assumptions!$B$4*(H$3-12)/12)),0)</f>
        <v/>
      </c>
      <c r="I5" s="4">
        <f>ROUND(IF(I$3&lt;Assumptions!$B17,0,IF(I$3&lt;=12,Assumptions!$C17*Assumptions!$B$4*(I$3-Assumptions!$B17+1)/MAX(1,12-Assumptions!$B17+1),Assumptions!$C17*Assumptions!$B$4+(Assumptions!$D17-Assumptions!$C17)*Assumptions!$B$4*(I$3-12)/12)),0)</f>
        <v/>
      </c>
      <c r="J5" s="4">
        <f>ROUND(IF(J$3&lt;Assumptions!$B17,0,IF(J$3&lt;=12,Assumptions!$C17*Assumptions!$B$4*(J$3-Assumptions!$B17+1)/MAX(1,12-Assumptions!$B17+1),Assumptions!$C17*Assumptions!$B$4+(Assumptions!$D17-Assumptions!$C17)*Assumptions!$B$4*(J$3-12)/12)),0)</f>
        <v/>
      </c>
      <c r="K5" s="4">
        <f>ROUND(IF(K$3&lt;Assumptions!$B17,0,IF(K$3&lt;=12,Assumptions!$C17*Assumptions!$B$4*(K$3-Assumptions!$B17+1)/MAX(1,12-Assumptions!$B17+1),Assumptions!$C17*Assumptions!$B$4+(Assumptions!$D17-Assumptions!$C17)*Assumptions!$B$4*(K$3-12)/12)),0)</f>
        <v/>
      </c>
      <c r="L5" s="4">
        <f>ROUND(IF(L$3&lt;Assumptions!$B17,0,IF(L$3&lt;=12,Assumptions!$C17*Assumptions!$B$4*(L$3-Assumptions!$B17+1)/MAX(1,12-Assumptions!$B17+1),Assumptions!$C17*Assumptions!$B$4+(Assumptions!$D17-Assumptions!$C17)*Assumptions!$B$4*(L$3-12)/12)),0)</f>
        <v/>
      </c>
      <c r="M5" s="4">
        <f>ROUND(IF(M$3&lt;Assumptions!$B17,0,IF(M$3&lt;=12,Assumptions!$C17*Assumptions!$B$4*(M$3-Assumptions!$B17+1)/MAX(1,12-Assumptions!$B17+1),Assumptions!$C17*Assumptions!$B$4+(Assumptions!$D17-Assumptions!$C17)*Assumptions!$B$4*(M$3-12)/12)),0)</f>
        <v/>
      </c>
      <c r="N5" s="4">
        <f>ROUND(IF(N$3&lt;Assumptions!$B17,0,IF(N$3&lt;=12,Assumptions!$C17*Assumptions!$B$4*(N$3-Assumptions!$B17+1)/MAX(1,12-Assumptions!$B17+1),Assumptions!$C17*Assumptions!$B$4+(Assumptions!$D17-Assumptions!$C17)*Assumptions!$B$4*(N$3-12)/12)),0)</f>
        <v/>
      </c>
      <c r="O5" s="4">
        <f>ROUND(IF(O$3&lt;Assumptions!$B17,0,IF(O$3&lt;=12,Assumptions!$C17*Assumptions!$B$4*(O$3-Assumptions!$B17+1)/MAX(1,12-Assumptions!$B17+1),Assumptions!$C17*Assumptions!$B$4+(Assumptions!$D17-Assumptions!$C17)*Assumptions!$B$4*(O$3-12)/12)),0)</f>
        <v/>
      </c>
      <c r="P5" s="4">
        <f>ROUND(IF(P$3&lt;Assumptions!$B17,0,IF(P$3&lt;=12,Assumptions!$C17*Assumptions!$B$4*(P$3-Assumptions!$B17+1)/MAX(1,12-Assumptions!$B17+1),Assumptions!$C17*Assumptions!$B$4+(Assumptions!$D17-Assumptions!$C17)*Assumptions!$B$4*(P$3-12)/12)),0)</f>
        <v/>
      </c>
      <c r="Q5" s="4">
        <f>ROUND(IF(Q$3&lt;Assumptions!$B17,0,IF(Q$3&lt;=12,Assumptions!$C17*Assumptions!$B$4*(Q$3-Assumptions!$B17+1)/MAX(1,12-Assumptions!$B17+1),Assumptions!$C17*Assumptions!$B$4+(Assumptions!$D17-Assumptions!$C17)*Assumptions!$B$4*(Q$3-12)/12)),0)</f>
        <v/>
      </c>
      <c r="R5" s="4">
        <f>ROUND(IF(R$3&lt;Assumptions!$B17,0,IF(R$3&lt;=12,Assumptions!$C17*Assumptions!$B$4*(R$3-Assumptions!$B17+1)/MAX(1,12-Assumptions!$B17+1),Assumptions!$C17*Assumptions!$B$4+(Assumptions!$D17-Assumptions!$C17)*Assumptions!$B$4*(R$3-12)/12)),0)</f>
        <v/>
      </c>
      <c r="S5" s="4">
        <f>ROUND(IF(S$3&lt;Assumptions!$B17,0,IF(S$3&lt;=12,Assumptions!$C17*Assumptions!$B$4*(S$3-Assumptions!$B17+1)/MAX(1,12-Assumptions!$B17+1),Assumptions!$C17*Assumptions!$B$4+(Assumptions!$D17-Assumptions!$C17)*Assumptions!$B$4*(S$3-12)/12)),0)</f>
        <v/>
      </c>
      <c r="T5" s="4">
        <f>ROUND(IF(T$3&lt;Assumptions!$B17,0,IF(T$3&lt;=12,Assumptions!$C17*Assumptions!$B$4*(T$3-Assumptions!$B17+1)/MAX(1,12-Assumptions!$B17+1),Assumptions!$C17*Assumptions!$B$4+(Assumptions!$D17-Assumptions!$C17)*Assumptions!$B$4*(T$3-12)/12)),0)</f>
        <v/>
      </c>
      <c r="U5" s="4">
        <f>ROUND(IF(U$3&lt;Assumptions!$B17,0,IF(U$3&lt;=12,Assumptions!$C17*Assumptions!$B$4*(U$3-Assumptions!$B17+1)/MAX(1,12-Assumptions!$B17+1),Assumptions!$C17*Assumptions!$B$4+(Assumptions!$D17-Assumptions!$C17)*Assumptions!$B$4*(U$3-12)/12)),0)</f>
        <v/>
      </c>
      <c r="V5" s="4">
        <f>ROUND(IF(V$3&lt;Assumptions!$B17,0,IF(V$3&lt;=12,Assumptions!$C17*Assumptions!$B$4*(V$3-Assumptions!$B17+1)/MAX(1,12-Assumptions!$B17+1),Assumptions!$C17*Assumptions!$B$4+(Assumptions!$D17-Assumptions!$C17)*Assumptions!$B$4*(V$3-12)/12)),0)</f>
        <v/>
      </c>
      <c r="W5" s="4">
        <f>ROUND(IF(W$3&lt;Assumptions!$B17,0,IF(W$3&lt;=12,Assumptions!$C17*Assumptions!$B$4*(W$3-Assumptions!$B17+1)/MAX(1,12-Assumptions!$B17+1),Assumptions!$C17*Assumptions!$B$4+(Assumptions!$D17-Assumptions!$C17)*Assumptions!$B$4*(W$3-12)/12)),0)</f>
        <v/>
      </c>
      <c r="X5" s="4">
        <f>ROUND(IF(X$3&lt;Assumptions!$B17,0,IF(X$3&lt;=12,Assumptions!$C17*Assumptions!$B$4*(X$3-Assumptions!$B17+1)/MAX(1,12-Assumptions!$B17+1),Assumptions!$C17*Assumptions!$B$4+(Assumptions!$D17-Assumptions!$C17)*Assumptions!$B$4*(X$3-12)/12)),0)</f>
        <v/>
      </c>
      <c r="Y5" s="4">
        <f>ROUND(IF(Y$3&lt;Assumptions!$B17,0,IF(Y$3&lt;=12,Assumptions!$C17*Assumptions!$B$4*(Y$3-Assumptions!$B17+1)/MAX(1,12-Assumptions!$B17+1),Assumptions!$C17*Assumptions!$B$4+(Assumptions!$D17-Assumptions!$C17)*Assumptions!$B$4*(Y$3-12)/12)),0)</f>
        <v/>
      </c>
    </row>
    <row r="6">
      <c r="A6" t="inlineStr">
        <is>
          <t>GuestNode in camera</t>
        </is>
      </c>
      <c r="B6" s="4">
        <f>ROUND(IF(B$3&lt;Assumptions!$B18,0,IF(B$3&lt;=12,Assumptions!$C18*Assumptions!$B$4*(B$3-Assumptions!$B18+1)/MAX(1,12-Assumptions!$B18+1),Assumptions!$C18*Assumptions!$B$4+(Assumptions!$D18-Assumptions!$C18)*Assumptions!$B$4*(B$3-12)/12)),0)</f>
        <v/>
      </c>
      <c r="C6" s="4">
        <f>ROUND(IF(C$3&lt;Assumptions!$B18,0,IF(C$3&lt;=12,Assumptions!$C18*Assumptions!$B$4*(C$3-Assumptions!$B18+1)/MAX(1,12-Assumptions!$B18+1),Assumptions!$C18*Assumptions!$B$4+(Assumptions!$D18-Assumptions!$C18)*Assumptions!$B$4*(C$3-12)/12)),0)</f>
        <v/>
      </c>
      <c r="D6" s="4">
        <f>ROUND(IF(D$3&lt;Assumptions!$B18,0,IF(D$3&lt;=12,Assumptions!$C18*Assumptions!$B$4*(D$3-Assumptions!$B18+1)/MAX(1,12-Assumptions!$B18+1),Assumptions!$C18*Assumptions!$B$4+(Assumptions!$D18-Assumptions!$C18)*Assumptions!$B$4*(D$3-12)/12)),0)</f>
        <v/>
      </c>
      <c r="E6" s="4">
        <f>ROUND(IF(E$3&lt;Assumptions!$B18,0,IF(E$3&lt;=12,Assumptions!$C18*Assumptions!$B$4*(E$3-Assumptions!$B18+1)/MAX(1,12-Assumptions!$B18+1),Assumptions!$C18*Assumptions!$B$4+(Assumptions!$D18-Assumptions!$C18)*Assumptions!$B$4*(E$3-12)/12)),0)</f>
        <v/>
      </c>
      <c r="F6" s="4">
        <f>ROUND(IF(F$3&lt;Assumptions!$B18,0,IF(F$3&lt;=12,Assumptions!$C18*Assumptions!$B$4*(F$3-Assumptions!$B18+1)/MAX(1,12-Assumptions!$B18+1),Assumptions!$C18*Assumptions!$B$4+(Assumptions!$D18-Assumptions!$C18)*Assumptions!$B$4*(F$3-12)/12)),0)</f>
        <v/>
      </c>
      <c r="G6" s="4">
        <f>ROUND(IF(G$3&lt;Assumptions!$B18,0,IF(G$3&lt;=12,Assumptions!$C18*Assumptions!$B$4*(G$3-Assumptions!$B18+1)/MAX(1,12-Assumptions!$B18+1),Assumptions!$C18*Assumptions!$B$4+(Assumptions!$D18-Assumptions!$C18)*Assumptions!$B$4*(G$3-12)/12)),0)</f>
        <v/>
      </c>
      <c r="H6" s="4">
        <f>ROUND(IF(H$3&lt;Assumptions!$B18,0,IF(H$3&lt;=12,Assumptions!$C18*Assumptions!$B$4*(H$3-Assumptions!$B18+1)/MAX(1,12-Assumptions!$B18+1),Assumptions!$C18*Assumptions!$B$4+(Assumptions!$D18-Assumptions!$C18)*Assumptions!$B$4*(H$3-12)/12)),0)</f>
        <v/>
      </c>
      <c r="I6" s="4">
        <f>ROUND(IF(I$3&lt;Assumptions!$B18,0,IF(I$3&lt;=12,Assumptions!$C18*Assumptions!$B$4*(I$3-Assumptions!$B18+1)/MAX(1,12-Assumptions!$B18+1),Assumptions!$C18*Assumptions!$B$4+(Assumptions!$D18-Assumptions!$C18)*Assumptions!$B$4*(I$3-12)/12)),0)</f>
        <v/>
      </c>
      <c r="J6" s="4">
        <f>ROUND(IF(J$3&lt;Assumptions!$B18,0,IF(J$3&lt;=12,Assumptions!$C18*Assumptions!$B$4*(J$3-Assumptions!$B18+1)/MAX(1,12-Assumptions!$B18+1),Assumptions!$C18*Assumptions!$B$4+(Assumptions!$D18-Assumptions!$C18)*Assumptions!$B$4*(J$3-12)/12)),0)</f>
        <v/>
      </c>
      <c r="K6" s="4">
        <f>ROUND(IF(K$3&lt;Assumptions!$B18,0,IF(K$3&lt;=12,Assumptions!$C18*Assumptions!$B$4*(K$3-Assumptions!$B18+1)/MAX(1,12-Assumptions!$B18+1),Assumptions!$C18*Assumptions!$B$4+(Assumptions!$D18-Assumptions!$C18)*Assumptions!$B$4*(K$3-12)/12)),0)</f>
        <v/>
      </c>
      <c r="L6" s="4">
        <f>ROUND(IF(L$3&lt;Assumptions!$B18,0,IF(L$3&lt;=12,Assumptions!$C18*Assumptions!$B$4*(L$3-Assumptions!$B18+1)/MAX(1,12-Assumptions!$B18+1),Assumptions!$C18*Assumptions!$B$4+(Assumptions!$D18-Assumptions!$C18)*Assumptions!$B$4*(L$3-12)/12)),0)</f>
        <v/>
      </c>
      <c r="M6" s="4">
        <f>ROUND(IF(M$3&lt;Assumptions!$B18,0,IF(M$3&lt;=12,Assumptions!$C18*Assumptions!$B$4*(M$3-Assumptions!$B18+1)/MAX(1,12-Assumptions!$B18+1),Assumptions!$C18*Assumptions!$B$4+(Assumptions!$D18-Assumptions!$C18)*Assumptions!$B$4*(M$3-12)/12)),0)</f>
        <v/>
      </c>
      <c r="N6" s="4">
        <f>ROUND(IF(N$3&lt;Assumptions!$B18,0,IF(N$3&lt;=12,Assumptions!$C18*Assumptions!$B$4*(N$3-Assumptions!$B18+1)/MAX(1,12-Assumptions!$B18+1),Assumptions!$C18*Assumptions!$B$4+(Assumptions!$D18-Assumptions!$C18)*Assumptions!$B$4*(N$3-12)/12)),0)</f>
        <v/>
      </c>
      <c r="O6" s="4">
        <f>ROUND(IF(O$3&lt;Assumptions!$B18,0,IF(O$3&lt;=12,Assumptions!$C18*Assumptions!$B$4*(O$3-Assumptions!$B18+1)/MAX(1,12-Assumptions!$B18+1),Assumptions!$C18*Assumptions!$B$4+(Assumptions!$D18-Assumptions!$C18)*Assumptions!$B$4*(O$3-12)/12)),0)</f>
        <v/>
      </c>
      <c r="P6" s="4">
        <f>ROUND(IF(P$3&lt;Assumptions!$B18,0,IF(P$3&lt;=12,Assumptions!$C18*Assumptions!$B$4*(P$3-Assumptions!$B18+1)/MAX(1,12-Assumptions!$B18+1),Assumptions!$C18*Assumptions!$B$4+(Assumptions!$D18-Assumptions!$C18)*Assumptions!$B$4*(P$3-12)/12)),0)</f>
        <v/>
      </c>
      <c r="Q6" s="4">
        <f>ROUND(IF(Q$3&lt;Assumptions!$B18,0,IF(Q$3&lt;=12,Assumptions!$C18*Assumptions!$B$4*(Q$3-Assumptions!$B18+1)/MAX(1,12-Assumptions!$B18+1),Assumptions!$C18*Assumptions!$B$4+(Assumptions!$D18-Assumptions!$C18)*Assumptions!$B$4*(Q$3-12)/12)),0)</f>
        <v/>
      </c>
      <c r="R6" s="4">
        <f>ROUND(IF(R$3&lt;Assumptions!$B18,0,IF(R$3&lt;=12,Assumptions!$C18*Assumptions!$B$4*(R$3-Assumptions!$B18+1)/MAX(1,12-Assumptions!$B18+1),Assumptions!$C18*Assumptions!$B$4+(Assumptions!$D18-Assumptions!$C18)*Assumptions!$B$4*(R$3-12)/12)),0)</f>
        <v/>
      </c>
      <c r="S6" s="4">
        <f>ROUND(IF(S$3&lt;Assumptions!$B18,0,IF(S$3&lt;=12,Assumptions!$C18*Assumptions!$B$4*(S$3-Assumptions!$B18+1)/MAX(1,12-Assumptions!$B18+1),Assumptions!$C18*Assumptions!$B$4+(Assumptions!$D18-Assumptions!$C18)*Assumptions!$B$4*(S$3-12)/12)),0)</f>
        <v/>
      </c>
      <c r="T6" s="4">
        <f>ROUND(IF(T$3&lt;Assumptions!$B18,0,IF(T$3&lt;=12,Assumptions!$C18*Assumptions!$B$4*(T$3-Assumptions!$B18+1)/MAX(1,12-Assumptions!$B18+1),Assumptions!$C18*Assumptions!$B$4+(Assumptions!$D18-Assumptions!$C18)*Assumptions!$B$4*(T$3-12)/12)),0)</f>
        <v/>
      </c>
      <c r="U6" s="4">
        <f>ROUND(IF(U$3&lt;Assumptions!$B18,0,IF(U$3&lt;=12,Assumptions!$C18*Assumptions!$B$4*(U$3-Assumptions!$B18+1)/MAX(1,12-Assumptions!$B18+1),Assumptions!$C18*Assumptions!$B$4+(Assumptions!$D18-Assumptions!$C18)*Assumptions!$B$4*(U$3-12)/12)),0)</f>
        <v/>
      </c>
      <c r="V6" s="4">
        <f>ROUND(IF(V$3&lt;Assumptions!$B18,0,IF(V$3&lt;=12,Assumptions!$C18*Assumptions!$B$4*(V$3-Assumptions!$B18+1)/MAX(1,12-Assumptions!$B18+1),Assumptions!$C18*Assumptions!$B$4+(Assumptions!$D18-Assumptions!$C18)*Assumptions!$B$4*(V$3-12)/12)),0)</f>
        <v/>
      </c>
      <c r="W6" s="4">
        <f>ROUND(IF(W$3&lt;Assumptions!$B18,0,IF(W$3&lt;=12,Assumptions!$C18*Assumptions!$B$4*(W$3-Assumptions!$B18+1)/MAX(1,12-Assumptions!$B18+1),Assumptions!$C18*Assumptions!$B$4+(Assumptions!$D18-Assumptions!$C18)*Assumptions!$B$4*(W$3-12)/12)),0)</f>
        <v/>
      </c>
      <c r="X6" s="4">
        <f>ROUND(IF(X$3&lt;Assumptions!$B18,0,IF(X$3&lt;=12,Assumptions!$C18*Assumptions!$B$4*(X$3-Assumptions!$B18+1)/MAX(1,12-Assumptions!$B18+1),Assumptions!$C18*Assumptions!$B$4+(Assumptions!$D18-Assumptions!$C18)*Assumptions!$B$4*(X$3-12)/12)),0)</f>
        <v/>
      </c>
      <c r="Y6" s="4">
        <f>ROUND(IF(Y$3&lt;Assumptions!$B18,0,IF(Y$3&lt;=12,Assumptions!$C18*Assumptions!$B$4*(Y$3-Assumptions!$B18+1)/MAX(1,12-Assumptions!$B18+1),Assumptions!$C18*Assumptions!$B$4+(Assumptions!$D18-Assumptions!$C18)*Assumptions!$B$4*(Y$3-12)/12)),0)</f>
        <v/>
      </c>
    </row>
    <row r="7">
      <c r="A7" t="inlineStr">
        <is>
          <t>Smart Travel Wall (vending/micro-market)</t>
        </is>
      </c>
      <c r="B7" s="4">
        <f>ROUND(IF(B$3&lt;Assumptions!$B19,0,IF(B$3&lt;=12,Assumptions!$C19*Assumptions!$B$4*(B$3-Assumptions!$B19+1)/MAX(1,12-Assumptions!$B19+1),Assumptions!$C19*Assumptions!$B$4+(Assumptions!$D19-Assumptions!$C19)*Assumptions!$B$4*(B$3-12)/12)),0)</f>
        <v/>
      </c>
      <c r="C7" s="4">
        <f>ROUND(IF(C$3&lt;Assumptions!$B19,0,IF(C$3&lt;=12,Assumptions!$C19*Assumptions!$B$4*(C$3-Assumptions!$B19+1)/MAX(1,12-Assumptions!$B19+1),Assumptions!$C19*Assumptions!$B$4+(Assumptions!$D19-Assumptions!$C19)*Assumptions!$B$4*(C$3-12)/12)),0)</f>
        <v/>
      </c>
      <c r="D7" s="4">
        <f>ROUND(IF(D$3&lt;Assumptions!$B19,0,IF(D$3&lt;=12,Assumptions!$C19*Assumptions!$B$4*(D$3-Assumptions!$B19+1)/MAX(1,12-Assumptions!$B19+1),Assumptions!$C19*Assumptions!$B$4+(Assumptions!$D19-Assumptions!$C19)*Assumptions!$B$4*(D$3-12)/12)),0)</f>
        <v/>
      </c>
      <c r="E7" s="4">
        <f>ROUND(IF(E$3&lt;Assumptions!$B19,0,IF(E$3&lt;=12,Assumptions!$C19*Assumptions!$B$4*(E$3-Assumptions!$B19+1)/MAX(1,12-Assumptions!$B19+1),Assumptions!$C19*Assumptions!$B$4+(Assumptions!$D19-Assumptions!$C19)*Assumptions!$B$4*(E$3-12)/12)),0)</f>
        <v/>
      </c>
      <c r="F7" s="4">
        <f>ROUND(IF(F$3&lt;Assumptions!$B19,0,IF(F$3&lt;=12,Assumptions!$C19*Assumptions!$B$4*(F$3-Assumptions!$B19+1)/MAX(1,12-Assumptions!$B19+1),Assumptions!$C19*Assumptions!$B$4+(Assumptions!$D19-Assumptions!$C19)*Assumptions!$B$4*(F$3-12)/12)),0)</f>
        <v/>
      </c>
      <c r="G7" s="4">
        <f>ROUND(IF(G$3&lt;Assumptions!$B19,0,IF(G$3&lt;=12,Assumptions!$C19*Assumptions!$B$4*(G$3-Assumptions!$B19+1)/MAX(1,12-Assumptions!$B19+1),Assumptions!$C19*Assumptions!$B$4+(Assumptions!$D19-Assumptions!$C19)*Assumptions!$B$4*(G$3-12)/12)),0)</f>
        <v/>
      </c>
      <c r="H7" s="4">
        <f>ROUND(IF(H$3&lt;Assumptions!$B19,0,IF(H$3&lt;=12,Assumptions!$C19*Assumptions!$B$4*(H$3-Assumptions!$B19+1)/MAX(1,12-Assumptions!$B19+1),Assumptions!$C19*Assumptions!$B$4+(Assumptions!$D19-Assumptions!$C19)*Assumptions!$B$4*(H$3-12)/12)),0)</f>
        <v/>
      </c>
      <c r="I7" s="4">
        <f>ROUND(IF(I$3&lt;Assumptions!$B19,0,IF(I$3&lt;=12,Assumptions!$C19*Assumptions!$B$4*(I$3-Assumptions!$B19+1)/MAX(1,12-Assumptions!$B19+1),Assumptions!$C19*Assumptions!$B$4+(Assumptions!$D19-Assumptions!$C19)*Assumptions!$B$4*(I$3-12)/12)),0)</f>
        <v/>
      </c>
      <c r="J7" s="4">
        <f>ROUND(IF(J$3&lt;Assumptions!$B19,0,IF(J$3&lt;=12,Assumptions!$C19*Assumptions!$B$4*(J$3-Assumptions!$B19+1)/MAX(1,12-Assumptions!$B19+1),Assumptions!$C19*Assumptions!$B$4+(Assumptions!$D19-Assumptions!$C19)*Assumptions!$B$4*(J$3-12)/12)),0)</f>
        <v/>
      </c>
      <c r="K7" s="4">
        <f>ROUND(IF(K$3&lt;Assumptions!$B19,0,IF(K$3&lt;=12,Assumptions!$C19*Assumptions!$B$4*(K$3-Assumptions!$B19+1)/MAX(1,12-Assumptions!$B19+1),Assumptions!$C19*Assumptions!$B$4+(Assumptions!$D19-Assumptions!$C19)*Assumptions!$B$4*(K$3-12)/12)),0)</f>
        <v/>
      </c>
      <c r="L7" s="4">
        <f>ROUND(IF(L$3&lt;Assumptions!$B19,0,IF(L$3&lt;=12,Assumptions!$C19*Assumptions!$B$4*(L$3-Assumptions!$B19+1)/MAX(1,12-Assumptions!$B19+1),Assumptions!$C19*Assumptions!$B$4+(Assumptions!$D19-Assumptions!$C19)*Assumptions!$B$4*(L$3-12)/12)),0)</f>
        <v/>
      </c>
      <c r="M7" s="4">
        <f>ROUND(IF(M$3&lt;Assumptions!$B19,0,IF(M$3&lt;=12,Assumptions!$C19*Assumptions!$B$4*(M$3-Assumptions!$B19+1)/MAX(1,12-Assumptions!$B19+1),Assumptions!$C19*Assumptions!$B$4+(Assumptions!$D19-Assumptions!$C19)*Assumptions!$B$4*(M$3-12)/12)),0)</f>
        <v/>
      </c>
      <c r="N7" s="4">
        <f>ROUND(IF(N$3&lt;Assumptions!$B19,0,IF(N$3&lt;=12,Assumptions!$C19*Assumptions!$B$4*(N$3-Assumptions!$B19+1)/MAX(1,12-Assumptions!$B19+1),Assumptions!$C19*Assumptions!$B$4+(Assumptions!$D19-Assumptions!$C19)*Assumptions!$B$4*(N$3-12)/12)),0)</f>
        <v/>
      </c>
      <c r="O7" s="4">
        <f>ROUND(IF(O$3&lt;Assumptions!$B19,0,IF(O$3&lt;=12,Assumptions!$C19*Assumptions!$B$4*(O$3-Assumptions!$B19+1)/MAX(1,12-Assumptions!$B19+1),Assumptions!$C19*Assumptions!$B$4+(Assumptions!$D19-Assumptions!$C19)*Assumptions!$B$4*(O$3-12)/12)),0)</f>
        <v/>
      </c>
      <c r="P7" s="4">
        <f>ROUND(IF(P$3&lt;Assumptions!$B19,0,IF(P$3&lt;=12,Assumptions!$C19*Assumptions!$B$4*(P$3-Assumptions!$B19+1)/MAX(1,12-Assumptions!$B19+1),Assumptions!$C19*Assumptions!$B$4+(Assumptions!$D19-Assumptions!$C19)*Assumptions!$B$4*(P$3-12)/12)),0)</f>
        <v/>
      </c>
      <c r="Q7" s="4">
        <f>ROUND(IF(Q$3&lt;Assumptions!$B19,0,IF(Q$3&lt;=12,Assumptions!$C19*Assumptions!$B$4*(Q$3-Assumptions!$B19+1)/MAX(1,12-Assumptions!$B19+1),Assumptions!$C19*Assumptions!$B$4+(Assumptions!$D19-Assumptions!$C19)*Assumptions!$B$4*(Q$3-12)/12)),0)</f>
        <v/>
      </c>
      <c r="R7" s="4">
        <f>ROUND(IF(R$3&lt;Assumptions!$B19,0,IF(R$3&lt;=12,Assumptions!$C19*Assumptions!$B$4*(R$3-Assumptions!$B19+1)/MAX(1,12-Assumptions!$B19+1),Assumptions!$C19*Assumptions!$B$4+(Assumptions!$D19-Assumptions!$C19)*Assumptions!$B$4*(R$3-12)/12)),0)</f>
        <v/>
      </c>
      <c r="S7" s="4">
        <f>ROUND(IF(S$3&lt;Assumptions!$B19,0,IF(S$3&lt;=12,Assumptions!$C19*Assumptions!$B$4*(S$3-Assumptions!$B19+1)/MAX(1,12-Assumptions!$B19+1),Assumptions!$C19*Assumptions!$B$4+(Assumptions!$D19-Assumptions!$C19)*Assumptions!$B$4*(S$3-12)/12)),0)</f>
        <v/>
      </c>
      <c r="T7" s="4">
        <f>ROUND(IF(T$3&lt;Assumptions!$B19,0,IF(T$3&lt;=12,Assumptions!$C19*Assumptions!$B$4*(T$3-Assumptions!$B19+1)/MAX(1,12-Assumptions!$B19+1),Assumptions!$C19*Assumptions!$B$4+(Assumptions!$D19-Assumptions!$C19)*Assumptions!$B$4*(T$3-12)/12)),0)</f>
        <v/>
      </c>
      <c r="U7" s="4">
        <f>ROUND(IF(U$3&lt;Assumptions!$B19,0,IF(U$3&lt;=12,Assumptions!$C19*Assumptions!$B$4*(U$3-Assumptions!$B19+1)/MAX(1,12-Assumptions!$B19+1),Assumptions!$C19*Assumptions!$B$4+(Assumptions!$D19-Assumptions!$C19)*Assumptions!$B$4*(U$3-12)/12)),0)</f>
        <v/>
      </c>
      <c r="V7" s="4">
        <f>ROUND(IF(V$3&lt;Assumptions!$B19,0,IF(V$3&lt;=12,Assumptions!$C19*Assumptions!$B$4*(V$3-Assumptions!$B19+1)/MAX(1,12-Assumptions!$B19+1),Assumptions!$C19*Assumptions!$B$4+(Assumptions!$D19-Assumptions!$C19)*Assumptions!$B$4*(V$3-12)/12)),0)</f>
        <v/>
      </c>
      <c r="W7" s="4">
        <f>ROUND(IF(W$3&lt;Assumptions!$B19,0,IF(W$3&lt;=12,Assumptions!$C19*Assumptions!$B$4*(W$3-Assumptions!$B19+1)/MAX(1,12-Assumptions!$B19+1),Assumptions!$C19*Assumptions!$B$4+(Assumptions!$D19-Assumptions!$C19)*Assumptions!$B$4*(W$3-12)/12)),0)</f>
        <v/>
      </c>
      <c r="X7" s="4">
        <f>ROUND(IF(X$3&lt;Assumptions!$B19,0,IF(X$3&lt;=12,Assumptions!$C19*Assumptions!$B$4*(X$3-Assumptions!$B19+1)/MAX(1,12-Assumptions!$B19+1),Assumptions!$C19*Assumptions!$B$4+(Assumptions!$D19-Assumptions!$C19)*Assumptions!$B$4*(X$3-12)/12)),0)</f>
        <v/>
      </c>
      <c r="Y7" s="4">
        <f>ROUND(IF(Y$3&lt;Assumptions!$B19,0,IF(Y$3&lt;=12,Assumptions!$C19*Assumptions!$B$4*(Y$3-Assumptions!$B19+1)/MAX(1,12-Assumptions!$B19+1),Assumptions!$C19*Assumptions!$B$4+(Assumptions!$D19-Assumptions!$C19)*Assumptions!$B$4*(Y$3-12)/12)),0)</f>
        <v/>
      </c>
    </row>
    <row r="8">
      <c r="A8" t="inlineStr">
        <is>
          <t>Armadietti a noleggio</t>
        </is>
      </c>
      <c r="B8" s="4">
        <f>ROUND(IF(B$3&lt;Assumptions!$B20,0,IF(B$3&lt;=12,Assumptions!$C20*Assumptions!$B$4*(B$3-Assumptions!$B20+1)/MAX(1,12-Assumptions!$B20+1),Assumptions!$C20*Assumptions!$B$4+(Assumptions!$D20-Assumptions!$C20)*Assumptions!$B$4*(B$3-12)/12)),0)</f>
        <v/>
      </c>
      <c r="C8" s="4">
        <f>ROUND(IF(C$3&lt;Assumptions!$B20,0,IF(C$3&lt;=12,Assumptions!$C20*Assumptions!$B$4*(C$3-Assumptions!$B20+1)/MAX(1,12-Assumptions!$B20+1),Assumptions!$C20*Assumptions!$B$4+(Assumptions!$D20-Assumptions!$C20)*Assumptions!$B$4*(C$3-12)/12)),0)</f>
        <v/>
      </c>
      <c r="D8" s="4">
        <f>ROUND(IF(D$3&lt;Assumptions!$B20,0,IF(D$3&lt;=12,Assumptions!$C20*Assumptions!$B$4*(D$3-Assumptions!$B20+1)/MAX(1,12-Assumptions!$B20+1),Assumptions!$C20*Assumptions!$B$4+(Assumptions!$D20-Assumptions!$C20)*Assumptions!$B$4*(D$3-12)/12)),0)</f>
        <v/>
      </c>
      <c r="E8" s="4">
        <f>ROUND(IF(E$3&lt;Assumptions!$B20,0,IF(E$3&lt;=12,Assumptions!$C20*Assumptions!$B$4*(E$3-Assumptions!$B20+1)/MAX(1,12-Assumptions!$B20+1),Assumptions!$C20*Assumptions!$B$4+(Assumptions!$D20-Assumptions!$C20)*Assumptions!$B$4*(E$3-12)/12)),0)</f>
        <v/>
      </c>
      <c r="F8" s="4">
        <f>ROUND(IF(F$3&lt;Assumptions!$B20,0,IF(F$3&lt;=12,Assumptions!$C20*Assumptions!$B$4*(F$3-Assumptions!$B20+1)/MAX(1,12-Assumptions!$B20+1),Assumptions!$C20*Assumptions!$B$4+(Assumptions!$D20-Assumptions!$C20)*Assumptions!$B$4*(F$3-12)/12)),0)</f>
        <v/>
      </c>
      <c r="G8" s="4">
        <f>ROUND(IF(G$3&lt;Assumptions!$B20,0,IF(G$3&lt;=12,Assumptions!$C20*Assumptions!$B$4*(G$3-Assumptions!$B20+1)/MAX(1,12-Assumptions!$B20+1),Assumptions!$C20*Assumptions!$B$4+(Assumptions!$D20-Assumptions!$C20)*Assumptions!$B$4*(G$3-12)/12)),0)</f>
        <v/>
      </c>
      <c r="H8" s="4">
        <f>ROUND(IF(H$3&lt;Assumptions!$B20,0,IF(H$3&lt;=12,Assumptions!$C20*Assumptions!$B$4*(H$3-Assumptions!$B20+1)/MAX(1,12-Assumptions!$B20+1),Assumptions!$C20*Assumptions!$B$4+(Assumptions!$D20-Assumptions!$C20)*Assumptions!$B$4*(H$3-12)/12)),0)</f>
        <v/>
      </c>
      <c r="I8" s="4">
        <f>ROUND(IF(I$3&lt;Assumptions!$B20,0,IF(I$3&lt;=12,Assumptions!$C20*Assumptions!$B$4*(I$3-Assumptions!$B20+1)/MAX(1,12-Assumptions!$B20+1),Assumptions!$C20*Assumptions!$B$4+(Assumptions!$D20-Assumptions!$C20)*Assumptions!$B$4*(I$3-12)/12)),0)</f>
        <v/>
      </c>
      <c r="J8" s="4">
        <f>ROUND(IF(J$3&lt;Assumptions!$B20,0,IF(J$3&lt;=12,Assumptions!$C20*Assumptions!$B$4*(J$3-Assumptions!$B20+1)/MAX(1,12-Assumptions!$B20+1),Assumptions!$C20*Assumptions!$B$4+(Assumptions!$D20-Assumptions!$C20)*Assumptions!$B$4*(J$3-12)/12)),0)</f>
        <v/>
      </c>
      <c r="K8" s="4">
        <f>ROUND(IF(K$3&lt;Assumptions!$B20,0,IF(K$3&lt;=12,Assumptions!$C20*Assumptions!$B$4*(K$3-Assumptions!$B20+1)/MAX(1,12-Assumptions!$B20+1),Assumptions!$C20*Assumptions!$B$4+(Assumptions!$D20-Assumptions!$C20)*Assumptions!$B$4*(K$3-12)/12)),0)</f>
        <v/>
      </c>
      <c r="L8" s="4">
        <f>ROUND(IF(L$3&lt;Assumptions!$B20,0,IF(L$3&lt;=12,Assumptions!$C20*Assumptions!$B$4*(L$3-Assumptions!$B20+1)/MAX(1,12-Assumptions!$B20+1),Assumptions!$C20*Assumptions!$B$4+(Assumptions!$D20-Assumptions!$C20)*Assumptions!$B$4*(L$3-12)/12)),0)</f>
        <v/>
      </c>
      <c r="M8" s="4">
        <f>ROUND(IF(M$3&lt;Assumptions!$B20,0,IF(M$3&lt;=12,Assumptions!$C20*Assumptions!$B$4*(M$3-Assumptions!$B20+1)/MAX(1,12-Assumptions!$B20+1),Assumptions!$C20*Assumptions!$B$4+(Assumptions!$D20-Assumptions!$C20)*Assumptions!$B$4*(M$3-12)/12)),0)</f>
        <v/>
      </c>
      <c r="N8" s="4">
        <f>ROUND(IF(N$3&lt;Assumptions!$B20,0,IF(N$3&lt;=12,Assumptions!$C20*Assumptions!$B$4*(N$3-Assumptions!$B20+1)/MAX(1,12-Assumptions!$B20+1),Assumptions!$C20*Assumptions!$B$4+(Assumptions!$D20-Assumptions!$C20)*Assumptions!$B$4*(N$3-12)/12)),0)</f>
        <v/>
      </c>
      <c r="O8" s="4">
        <f>ROUND(IF(O$3&lt;Assumptions!$B20,0,IF(O$3&lt;=12,Assumptions!$C20*Assumptions!$B$4*(O$3-Assumptions!$B20+1)/MAX(1,12-Assumptions!$B20+1),Assumptions!$C20*Assumptions!$B$4+(Assumptions!$D20-Assumptions!$C20)*Assumptions!$B$4*(O$3-12)/12)),0)</f>
        <v/>
      </c>
      <c r="P8" s="4">
        <f>ROUND(IF(P$3&lt;Assumptions!$B20,0,IF(P$3&lt;=12,Assumptions!$C20*Assumptions!$B$4*(P$3-Assumptions!$B20+1)/MAX(1,12-Assumptions!$B20+1),Assumptions!$C20*Assumptions!$B$4+(Assumptions!$D20-Assumptions!$C20)*Assumptions!$B$4*(P$3-12)/12)),0)</f>
        <v/>
      </c>
      <c r="Q8" s="4">
        <f>ROUND(IF(Q$3&lt;Assumptions!$B20,0,IF(Q$3&lt;=12,Assumptions!$C20*Assumptions!$B$4*(Q$3-Assumptions!$B20+1)/MAX(1,12-Assumptions!$B20+1),Assumptions!$C20*Assumptions!$B$4+(Assumptions!$D20-Assumptions!$C20)*Assumptions!$B$4*(Q$3-12)/12)),0)</f>
        <v/>
      </c>
      <c r="R8" s="4">
        <f>ROUND(IF(R$3&lt;Assumptions!$B20,0,IF(R$3&lt;=12,Assumptions!$C20*Assumptions!$B$4*(R$3-Assumptions!$B20+1)/MAX(1,12-Assumptions!$B20+1),Assumptions!$C20*Assumptions!$B$4+(Assumptions!$D20-Assumptions!$C20)*Assumptions!$B$4*(R$3-12)/12)),0)</f>
        <v/>
      </c>
      <c r="S8" s="4">
        <f>ROUND(IF(S$3&lt;Assumptions!$B20,0,IF(S$3&lt;=12,Assumptions!$C20*Assumptions!$B$4*(S$3-Assumptions!$B20+1)/MAX(1,12-Assumptions!$B20+1),Assumptions!$C20*Assumptions!$B$4+(Assumptions!$D20-Assumptions!$C20)*Assumptions!$B$4*(S$3-12)/12)),0)</f>
        <v/>
      </c>
      <c r="T8" s="4">
        <f>ROUND(IF(T$3&lt;Assumptions!$B20,0,IF(T$3&lt;=12,Assumptions!$C20*Assumptions!$B$4*(T$3-Assumptions!$B20+1)/MAX(1,12-Assumptions!$B20+1),Assumptions!$C20*Assumptions!$B$4+(Assumptions!$D20-Assumptions!$C20)*Assumptions!$B$4*(T$3-12)/12)),0)</f>
        <v/>
      </c>
      <c r="U8" s="4">
        <f>ROUND(IF(U$3&lt;Assumptions!$B20,0,IF(U$3&lt;=12,Assumptions!$C20*Assumptions!$B$4*(U$3-Assumptions!$B20+1)/MAX(1,12-Assumptions!$B20+1),Assumptions!$C20*Assumptions!$B$4+(Assumptions!$D20-Assumptions!$C20)*Assumptions!$B$4*(U$3-12)/12)),0)</f>
        <v/>
      </c>
      <c r="V8" s="4">
        <f>ROUND(IF(V$3&lt;Assumptions!$B20,0,IF(V$3&lt;=12,Assumptions!$C20*Assumptions!$B$4*(V$3-Assumptions!$B20+1)/MAX(1,12-Assumptions!$B20+1),Assumptions!$C20*Assumptions!$B$4+(Assumptions!$D20-Assumptions!$C20)*Assumptions!$B$4*(V$3-12)/12)),0)</f>
        <v/>
      </c>
      <c r="W8" s="4">
        <f>ROUND(IF(W$3&lt;Assumptions!$B20,0,IF(W$3&lt;=12,Assumptions!$C20*Assumptions!$B$4*(W$3-Assumptions!$B20+1)/MAX(1,12-Assumptions!$B20+1),Assumptions!$C20*Assumptions!$B$4+(Assumptions!$D20-Assumptions!$C20)*Assumptions!$B$4*(W$3-12)/12)),0)</f>
        <v/>
      </c>
      <c r="X8" s="4">
        <f>ROUND(IF(X$3&lt;Assumptions!$B20,0,IF(X$3&lt;=12,Assumptions!$C20*Assumptions!$B$4*(X$3-Assumptions!$B20+1)/MAX(1,12-Assumptions!$B20+1),Assumptions!$C20*Assumptions!$B$4+(Assumptions!$D20-Assumptions!$C20)*Assumptions!$B$4*(X$3-12)/12)),0)</f>
        <v/>
      </c>
      <c r="Y8" s="4">
        <f>ROUND(IF(Y$3&lt;Assumptions!$B20,0,IF(Y$3&lt;=12,Assumptions!$C20*Assumptions!$B$4*(Y$3-Assumptions!$B20+1)/MAX(1,12-Assumptions!$B20+1),Assumptions!$C20*Assumptions!$B$4+(Assumptions!$D20-Assumptions!$C20)*Assumptions!$B$4*(Y$3-12)/12)),0)</f>
        <v/>
      </c>
    </row>
    <row r="9">
      <c r="A9" t="inlineStr">
        <is>
          <t>Armadietti bagagli</t>
        </is>
      </c>
      <c r="B9" s="4">
        <f>ROUND(IF(B$3&lt;Assumptions!$B21,0,IF(B$3&lt;=12,Assumptions!$C21*Assumptions!$B$4*(B$3-Assumptions!$B21+1)/MAX(1,12-Assumptions!$B21+1),Assumptions!$C21*Assumptions!$B$4+(Assumptions!$D21-Assumptions!$C21)*Assumptions!$B$4*(B$3-12)/12)),0)</f>
        <v/>
      </c>
      <c r="C9" s="4">
        <f>ROUND(IF(C$3&lt;Assumptions!$B21,0,IF(C$3&lt;=12,Assumptions!$C21*Assumptions!$B$4*(C$3-Assumptions!$B21+1)/MAX(1,12-Assumptions!$B21+1),Assumptions!$C21*Assumptions!$B$4+(Assumptions!$D21-Assumptions!$C21)*Assumptions!$B$4*(C$3-12)/12)),0)</f>
        <v/>
      </c>
      <c r="D9" s="4">
        <f>ROUND(IF(D$3&lt;Assumptions!$B21,0,IF(D$3&lt;=12,Assumptions!$C21*Assumptions!$B$4*(D$3-Assumptions!$B21+1)/MAX(1,12-Assumptions!$B21+1),Assumptions!$C21*Assumptions!$B$4+(Assumptions!$D21-Assumptions!$C21)*Assumptions!$B$4*(D$3-12)/12)),0)</f>
        <v/>
      </c>
      <c r="E9" s="4">
        <f>ROUND(IF(E$3&lt;Assumptions!$B21,0,IF(E$3&lt;=12,Assumptions!$C21*Assumptions!$B$4*(E$3-Assumptions!$B21+1)/MAX(1,12-Assumptions!$B21+1),Assumptions!$C21*Assumptions!$B$4+(Assumptions!$D21-Assumptions!$C21)*Assumptions!$B$4*(E$3-12)/12)),0)</f>
        <v/>
      </c>
      <c r="F9" s="4">
        <f>ROUND(IF(F$3&lt;Assumptions!$B21,0,IF(F$3&lt;=12,Assumptions!$C21*Assumptions!$B$4*(F$3-Assumptions!$B21+1)/MAX(1,12-Assumptions!$B21+1),Assumptions!$C21*Assumptions!$B$4+(Assumptions!$D21-Assumptions!$C21)*Assumptions!$B$4*(F$3-12)/12)),0)</f>
        <v/>
      </c>
      <c r="G9" s="4">
        <f>ROUND(IF(G$3&lt;Assumptions!$B21,0,IF(G$3&lt;=12,Assumptions!$C21*Assumptions!$B$4*(G$3-Assumptions!$B21+1)/MAX(1,12-Assumptions!$B21+1),Assumptions!$C21*Assumptions!$B$4+(Assumptions!$D21-Assumptions!$C21)*Assumptions!$B$4*(G$3-12)/12)),0)</f>
        <v/>
      </c>
      <c r="H9" s="4">
        <f>ROUND(IF(H$3&lt;Assumptions!$B21,0,IF(H$3&lt;=12,Assumptions!$C21*Assumptions!$B$4*(H$3-Assumptions!$B21+1)/MAX(1,12-Assumptions!$B21+1),Assumptions!$C21*Assumptions!$B$4+(Assumptions!$D21-Assumptions!$C21)*Assumptions!$B$4*(H$3-12)/12)),0)</f>
        <v/>
      </c>
      <c r="I9" s="4">
        <f>ROUND(IF(I$3&lt;Assumptions!$B21,0,IF(I$3&lt;=12,Assumptions!$C21*Assumptions!$B$4*(I$3-Assumptions!$B21+1)/MAX(1,12-Assumptions!$B21+1),Assumptions!$C21*Assumptions!$B$4+(Assumptions!$D21-Assumptions!$C21)*Assumptions!$B$4*(I$3-12)/12)),0)</f>
        <v/>
      </c>
      <c r="J9" s="4">
        <f>ROUND(IF(J$3&lt;Assumptions!$B21,0,IF(J$3&lt;=12,Assumptions!$C21*Assumptions!$B$4*(J$3-Assumptions!$B21+1)/MAX(1,12-Assumptions!$B21+1),Assumptions!$C21*Assumptions!$B$4+(Assumptions!$D21-Assumptions!$C21)*Assumptions!$B$4*(J$3-12)/12)),0)</f>
        <v/>
      </c>
      <c r="K9" s="4">
        <f>ROUND(IF(K$3&lt;Assumptions!$B21,0,IF(K$3&lt;=12,Assumptions!$C21*Assumptions!$B$4*(K$3-Assumptions!$B21+1)/MAX(1,12-Assumptions!$B21+1),Assumptions!$C21*Assumptions!$B$4+(Assumptions!$D21-Assumptions!$C21)*Assumptions!$B$4*(K$3-12)/12)),0)</f>
        <v/>
      </c>
      <c r="L9" s="4">
        <f>ROUND(IF(L$3&lt;Assumptions!$B21,0,IF(L$3&lt;=12,Assumptions!$C21*Assumptions!$B$4*(L$3-Assumptions!$B21+1)/MAX(1,12-Assumptions!$B21+1),Assumptions!$C21*Assumptions!$B$4+(Assumptions!$D21-Assumptions!$C21)*Assumptions!$B$4*(L$3-12)/12)),0)</f>
        <v/>
      </c>
      <c r="M9" s="4">
        <f>ROUND(IF(M$3&lt;Assumptions!$B21,0,IF(M$3&lt;=12,Assumptions!$C21*Assumptions!$B$4*(M$3-Assumptions!$B21+1)/MAX(1,12-Assumptions!$B21+1),Assumptions!$C21*Assumptions!$B$4+(Assumptions!$D21-Assumptions!$C21)*Assumptions!$B$4*(M$3-12)/12)),0)</f>
        <v/>
      </c>
      <c r="N9" s="4">
        <f>ROUND(IF(N$3&lt;Assumptions!$B21,0,IF(N$3&lt;=12,Assumptions!$C21*Assumptions!$B$4*(N$3-Assumptions!$B21+1)/MAX(1,12-Assumptions!$B21+1),Assumptions!$C21*Assumptions!$B$4+(Assumptions!$D21-Assumptions!$C21)*Assumptions!$B$4*(N$3-12)/12)),0)</f>
        <v/>
      </c>
      <c r="O9" s="4">
        <f>ROUND(IF(O$3&lt;Assumptions!$B21,0,IF(O$3&lt;=12,Assumptions!$C21*Assumptions!$B$4*(O$3-Assumptions!$B21+1)/MAX(1,12-Assumptions!$B21+1),Assumptions!$C21*Assumptions!$B$4+(Assumptions!$D21-Assumptions!$C21)*Assumptions!$B$4*(O$3-12)/12)),0)</f>
        <v/>
      </c>
      <c r="P9" s="4">
        <f>ROUND(IF(P$3&lt;Assumptions!$B21,0,IF(P$3&lt;=12,Assumptions!$C21*Assumptions!$B$4*(P$3-Assumptions!$B21+1)/MAX(1,12-Assumptions!$B21+1),Assumptions!$C21*Assumptions!$B$4+(Assumptions!$D21-Assumptions!$C21)*Assumptions!$B$4*(P$3-12)/12)),0)</f>
        <v/>
      </c>
      <c r="Q9" s="4">
        <f>ROUND(IF(Q$3&lt;Assumptions!$B21,0,IF(Q$3&lt;=12,Assumptions!$C21*Assumptions!$B$4*(Q$3-Assumptions!$B21+1)/MAX(1,12-Assumptions!$B21+1),Assumptions!$C21*Assumptions!$B$4+(Assumptions!$D21-Assumptions!$C21)*Assumptions!$B$4*(Q$3-12)/12)),0)</f>
        <v/>
      </c>
      <c r="R9" s="4">
        <f>ROUND(IF(R$3&lt;Assumptions!$B21,0,IF(R$3&lt;=12,Assumptions!$C21*Assumptions!$B$4*(R$3-Assumptions!$B21+1)/MAX(1,12-Assumptions!$B21+1),Assumptions!$C21*Assumptions!$B$4+(Assumptions!$D21-Assumptions!$C21)*Assumptions!$B$4*(R$3-12)/12)),0)</f>
        <v/>
      </c>
      <c r="S9" s="4">
        <f>ROUND(IF(S$3&lt;Assumptions!$B21,0,IF(S$3&lt;=12,Assumptions!$C21*Assumptions!$B$4*(S$3-Assumptions!$B21+1)/MAX(1,12-Assumptions!$B21+1),Assumptions!$C21*Assumptions!$B$4+(Assumptions!$D21-Assumptions!$C21)*Assumptions!$B$4*(S$3-12)/12)),0)</f>
        <v/>
      </c>
      <c r="T9" s="4">
        <f>ROUND(IF(T$3&lt;Assumptions!$B21,0,IF(T$3&lt;=12,Assumptions!$C21*Assumptions!$B$4*(T$3-Assumptions!$B21+1)/MAX(1,12-Assumptions!$B21+1),Assumptions!$C21*Assumptions!$B$4+(Assumptions!$D21-Assumptions!$C21)*Assumptions!$B$4*(T$3-12)/12)),0)</f>
        <v/>
      </c>
      <c r="U9" s="4">
        <f>ROUND(IF(U$3&lt;Assumptions!$B21,0,IF(U$3&lt;=12,Assumptions!$C21*Assumptions!$B$4*(U$3-Assumptions!$B21+1)/MAX(1,12-Assumptions!$B21+1),Assumptions!$C21*Assumptions!$B$4+(Assumptions!$D21-Assumptions!$C21)*Assumptions!$B$4*(U$3-12)/12)),0)</f>
        <v/>
      </c>
      <c r="V9" s="4">
        <f>ROUND(IF(V$3&lt;Assumptions!$B21,0,IF(V$3&lt;=12,Assumptions!$C21*Assumptions!$B$4*(V$3-Assumptions!$B21+1)/MAX(1,12-Assumptions!$B21+1),Assumptions!$C21*Assumptions!$B$4+(Assumptions!$D21-Assumptions!$C21)*Assumptions!$B$4*(V$3-12)/12)),0)</f>
        <v/>
      </c>
      <c r="W9" s="4">
        <f>ROUND(IF(W$3&lt;Assumptions!$B21,0,IF(W$3&lt;=12,Assumptions!$C21*Assumptions!$B$4*(W$3-Assumptions!$B21+1)/MAX(1,12-Assumptions!$B21+1),Assumptions!$C21*Assumptions!$B$4+(Assumptions!$D21-Assumptions!$C21)*Assumptions!$B$4*(W$3-12)/12)),0)</f>
        <v/>
      </c>
      <c r="X9" s="4">
        <f>ROUND(IF(X$3&lt;Assumptions!$B21,0,IF(X$3&lt;=12,Assumptions!$C21*Assumptions!$B$4*(X$3-Assumptions!$B21+1)/MAX(1,12-Assumptions!$B21+1),Assumptions!$C21*Assumptions!$B$4+(Assumptions!$D21-Assumptions!$C21)*Assumptions!$B$4*(X$3-12)/12)),0)</f>
        <v/>
      </c>
      <c r="Y9" s="4">
        <f>ROUND(IF(Y$3&lt;Assumptions!$B21,0,IF(Y$3&lt;=12,Assumptions!$C21*Assumptions!$B$4*(Y$3-Assumptions!$B21+1)/MAX(1,12-Assumptions!$B21+1),Assumptions!$C21*Assumptions!$B$4+(Assumptions!$D21-Assumptions!$C21)*Assumptions!$B$4*(Y$3-12)/12)),0)</f>
        <v/>
      </c>
    </row>
    <row r="10">
      <c r="A10" t="inlineStr">
        <is>
          <t>Noleggio power bank</t>
        </is>
      </c>
      <c r="B10" s="4">
        <f>ROUND(IF(B$3&lt;Assumptions!$B22,0,IF(B$3&lt;=12,Assumptions!$C22*Assumptions!$B$4*(B$3-Assumptions!$B22+1)/MAX(1,12-Assumptions!$B22+1),Assumptions!$C22*Assumptions!$B$4+(Assumptions!$D22-Assumptions!$C22)*Assumptions!$B$4*(B$3-12)/12)),0)</f>
        <v/>
      </c>
      <c r="C10" s="4">
        <f>ROUND(IF(C$3&lt;Assumptions!$B22,0,IF(C$3&lt;=12,Assumptions!$C22*Assumptions!$B$4*(C$3-Assumptions!$B22+1)/MAX(1,12-Assumptions!$B22+1),Assumptions!$C22*Assumptions!$B$4+(Assumptions!$D22-Assumptions!$C22)*Assumptions!$B$4*(C$3-12)/12)),0)</f>
        <v/>
      </c>
      <c r="D10" s="4">
        <f>ROUND(IF(D$3&lt;Assumptions!$B22,0,IF(D$3&lt;=12,Assumptions!$C22*Assumptions!$B$4*(D$3-Assumptions!$B22+1)/MAX(1,12-Assumptions!$B22+1),Assumptions!$C22*Assumptions!$B$4+(Assumptions!$D22-Assumptions!$C22)*Assumptions!$B$4*(D$3-12)/12)),0)</f>
        <v/>
      </c>
      <c r="E10" s="4">
        <f>ROUND(IF(E$3&lt;Assumptions!$B22,0,IF(E$3&lt;=12,Assumptions!$C22*Assumptions!$B$4*(E$3-Assumptions!$B22+1)/MAX(1,12-Assumptions!$B22+1),Assumptions!$C22*Assumptions!$B$4+(Assumptions!$D22-Assumptions!$C22)*Assumptions!$B$4*(E$3-12)/12)),0)</f>
        <v/>
      </c>
      <c r="F10" s="4">
        <f>ROUND(IF(F$3&lt;Assumptions!$B22,0,IF(F$3&lt;=12,Assumptions!$C22*Assumptions!$B$4*(F$3-Assumptions!$B22+1)/MAX(1,12-Assumptions!$B22+1),Assumptions!$C22*Assumptions!$B$4+(Assumptions!$D22-Assumptions!$C22)*Assumptions!$B$4*(F$3-12)/12)),0)</f>
        <v/>
      </c>
      <c r="G10" s="4">
        <f>ROUND(IF(G$3&lt;Assumptions!$B22,0,IF(G$3&lt;=12,Assumptions!$C22*Assumptions!$B$4*(G$3-Assumptions!$B22+1)/MAX(1,12-Assumptions!$B22+1),Assumptions!$C22*Assumptions!$B$4+(Assumptions!$D22-Assumptions!$C22)*Assumptions!$B$4*(G$3-12)/12)),0)</f>
        <v/>
      </c>
      <c r="H10" s="4">
        <f>ROUND(IF(H$3&lt;Assumptions!$B22,0,IF(H$3&lt;=12,Assumptions!$C22*Assumptions!$B$4*(H$3-Assumptions!$B22+1)/MAX(1,12-Assumptions!$B22+1),Assumptions!$C22*Assumptions!$B$4+(Assumptions!$D22-Assumptions!$C22)*Assumptions!$B$4*(H$3-12)/12)),0)</f>
        <v/>
      </c>
      <c r="I10" s="4">
        <f>ROUND(IF(I$3&lt;Assumptions!$B22,0,IF(I$3&lt;=12,Assumptions!$C22*Assumptions!$B$4*(I$3-Assumptions!$B22+1)/MAX(1,12-Assumptions!$B22+1),Assumptions!$C22*Assumptions!$B$4+(Assumptions!$D22-Assumptions!$C22)*Assumptions!$B$4*(I$3-12)/12)),0)</f>
        <v/>
      </c>
      <c r="J10" s="4">
        <f>ROUND(IF(J$3&lt;Assumptions!$B22,0,IF(J$3&lt;=12,Assumptions!$C22*Assumptions!$B$4*(J$3-Assumptions!$B22+1)/MAX(1,12-Assumptions!$B22+1),Assumptions!$C22*Assumptions!$B$4+(Assumptions!$D22-Assumptions!$C22)*Assumptions!$B$4*(J$3-12)/12)),0)</f>
        <v/>
      </c>
      <c r="K10" s="4">
        <f>ROUND(IF(K$3&lt;Assumptions!$B22,0,IF(K$3&lt;=12,Assumptions!$C22*Assumptions!$B$4*(K$3-Assumptions!$B22+1)/MAX(1,12-Assumptions!$B22+1),Assumptions!$C22*Assumptions!$B$4+(Assumptions!$D22-Assumptions!$C22)*Assumptions!$B$4*(K$3-12)/12)),0)</f>
        <v/>
      </c>
      <c r="L10" s="4">
        <f>ROUND(IF(L$3&lt;Assumptions!$B22,0,IF(L$3&lt;=12,Assumptions!$C22*Assumptions!$B$4*(L$3-Assumptions!$B22+1)/MAX(1,12-Assumptions!$B22+1),Assumptions!$C22*Assumptions!$B$4+(Assumptions!$D22-Assumptions!$C22)*Assumptions!$B$4*(L$3-12)/12)),0)</f>
        <v/>
      </c>
      <c r="M10" s="4">
        <f>ROUND(IF(M$3&lt;Assumptions!$B22,0,IF(M$3&lt;=12,Assumptions!$C22*Assumptions!$B$4*(M$3-Assumptions!$B22+1)/MAX(1,12-Assumptions!$B22+1),Assumptions!$C22*Assumptions!$B$4+(Assumptions!$D22-Assumptions!$C22)*Assumptions!$B$4*(M$3-12)/12)),0)</f>
        <v/>
      </c>
      <c r="N10" s="4">
        <f>ROUND(IF(N$3&lt;Assumptions!$B22,0,IF(N$3&lt;=12,Assumptions!$C22*Assumptions!$B$4*(N$3-Assumptions!$B22+1)/MAX(1,12-Assumptions!$B22+1),Assumptions!$C22*Assumptions!$B$4+(Assumptions!$D22-Assumptions!$C22)*Assumptions!$B$4*(N$3-12)/12)),0)</f>
        <v/>
      </c>
      <c r="O10" s="4">
        <f>ROUND(IF(O$3&lt;Assumptions!$B22,0,IF(O$3&lt;=12,Assumptions!$C22*Assumptions!$B$4*(O$3-Assumptions!$B22+1)/MAX(1,12-Assumptions!$B22+1),Assumptions!$C22*Assumptions!$B$4+(Assumptions!$D22-Assumptions!$C22)*Assumptions!$B$4*(O$3-12)/12)),0)</f>
        <v/>
      </c>
      <c r="P10" s="4">
        <f>ROUND(IF(P$3&lt;Assumptions!$B22,0,IF(P$3&lt;=12,Assumptions!$C22*Assumptions!$B$4*(P$3-Assumptions!$B22+1)/MAX(1,12-Assumptions!$B22+1),Assumptions!$C22*Assumptions!$B$4+(Assumptions!$D22-Assumptions!$C22)*Assumptions!$B$4*(P$3-12)/12)),0)</f>
        <v/>
      </c>
      <c r="Q10" s="4">
        <f>ROUND(IF(Q$3&lt;Assumptions!$B22,0,IF(Q$3&lt;=12,Assumptions!$C22*Assumptions!$B$4*(Q$3-Assumptions!$B22+1)/MAX(1,12-Assumptions!$B22+1),Assumptions!$C22*Assumptions!$B$4+(Assumptions!$D22-Assumptions!$C22)*Assumptions!$B$4*(Q$3-12)/12)),0)</f>
        <v/>
      </c>
      <c r="R10" s="4">
        <f>ROUND(IF(R$3&lt;Assumptions!$B22,0,IF(R$3&lt;=12,Assumptions!$C22*Assumptions!$B$4*(R$3-Assumptions!$B22+1)/MAX(1,12-Assumptions!$B22+1),Assumptions!$C22*Assumptions!$B$4+(Assumptions!$D22-Assumptions!$C22)*Assumptions!$B$4*(R$3-12)/12)),0)</f>
        <v/>
      </c>
      <c r="S10" s="4">
        <f>ROUND(IF(S$3&lt;Assumptions!$B22,0,IF(S$3&lt;=12,Assumptions!$C22*Assumptions!$B$4*(S$3-Assumptions!$B22+1)/MAX(1,12-Assumptions!$B22+1),Assumptions!$C22*Assumptions!$B$4+(Assumptions!$D22-Assumptions!$C22)*Assumptions!$B$4*(S$3-12)/12)),0)</f>
        <v/>
      </c>
      <c r="T10" s="4">
        <f>ROUND(IF(T$3&lt;Assumptions!$B22,0,IF(T$3&lt;=12,Assumptions!$C22*Assumptions!$B$4*(T$3-Assumptions!$B22+1)/MAX(1,12-Assumptions!$B22+1),Assumptions!$C22*Assumptions!$B$4+(Assumptions!$D22-Assumptions!$C22)*Assumptions!$B$4*(T$3-12)/12)),0)</f>
        <v/>
      </c>
      <c r="U10" s="4">
        <f>ROUND(IF(U$3&lt;Assumptions!$B22,0,IF(U$3&lt;=12,Assumptions!$C22*Assumptions!$B$4*(U$3-Assumptions!$B22+1)/MAX(1,12-Assumptions!$B22+1),Assumptions!$C22*Assumptions!$B$4+(Assumptions!$D22-Assumptions!$C22)*Assumptions!$B$4*(U$3-12)/12)),0)</f>
        <v/>
      </c>
      <c r="V10" s="4">
        <f>ROUND(IF(V$3&lt;Assumptions!$B22,0,IF(V$3&lt;=12,Assumptions!$C22*Assumptions!$B$4*(V$3-Assumptions!$B22+1)/MAX(1,12-Assumptions!$B22+1),Assumptions!$C22*Assumptions!$B$4+(Assumptions!$D22-Assumptions!$C22)*Assumptions!$B$4*(V$3-12)/12)),0)</f>
        <v/>
      </c>
      <c r="W10" s="4">
        <f>ROUND(IF(W$3&lt;Assumptions!$B22,0,IF(W$3&lt;=12,Assumptions!$C22*Assumptions!$B$4*(W$3-Assumptions!$B22+1)/MAX(1,12-Assumptions!$B22+1),Assumptions!$C22*Assumptions!$B$4+(Assumptions!$D22-Assumptions!$C22)*Assumptions!$B$4*(W$3-12)/12)),0)</f>
        <v/>
      </c>
      <c r="X10" s="4">
        <f>ROUND(IF(X$3&lt;Assumptions!$B22,0,IF(X$3&lt;=12,Assumptions!$C22*Assumptions!$B$4*(X$3-Assumptions!$B22+1)/MAX(1,12-Assumptions!$B22+1),Assumptions!$C22*Assumptions!$B$4+(Assumptions!$D22-Assumptions!$C22)*Assumptions!$B$4*(X$3-12)/12)),0)</f>
        <v/>
      </c>
      <c r="Y10" s="4">
        <f>ROUND(IF(Y$3&lt;Assumptions!$B22,0,IF(Y$3&lt;=12,Assumptions!$C22*Assumptions!$B$4*(Y$3-Assumptions!$B22+1)/MAX(1,12-Assumptions!$B22+1),Assumptions!$C22*Assumptions!$B$4+(Assumptions!$D22-Assumptions!$C22)*Assumptions!$B$4*(Y$3-12)/12)),0)</f>
        <v/>
      </c>
    </row>
    <row r="11">
      <c r="A11" t="inlineStr">
        <is>
          <t>Kit IoT Energia</t>
        </is>
      </c>
      <c r="B11" s="4">
        <f>ROUND(IF(B$3&lt;Assumptions!$B23,0,IF(B$3&lt;=12,Assumptions!$C23*Assumptions!$B$4*(B$3-Assumptions!$B23+1)/MAX(1,12-Assumptions!$B23+1),Assumptions!$C23*Assumptions!$B$4+(Assumptions!$D23-Assumptions!$C23)*Assumptions!$B$4*(B$3-12)/12)),0)</f>
        <v/>
      </c>
      <c r="C11" s="4">
        <f>ROUND(IF(C$3&lt;Assumptions!$B23,0,IF(C$3&lt;=12,Assumptions!$C23*Assumptions!$B$4*(C$3-Assumptions!$B23+1)/MAX(1,12-Assumptions!$B23+1),Assumptions!$C23*Assumptions!$B$4+(Assumptions!$D23-Assumptions!$C23)*Assumptions!$B$4*(C$3-12)/12)),0)</f>
        <v/>
      </c>
      <c r="D11" s="4">
        <f>ROUND(IF(D$3&lt;Assumptions!$B23,0,IF(D$3&lt;=12,Assumptions!$C23*Assumptions!$B$4*(D$3-Assumptions!$B23+1)/MAX(1,12-Assumptions!$B23+1),Assumptions!$C23*Assumptions!$B$4+(Assumptions!$D23-Assumptions!$C23)*Assumptions!$B$4*(D$3-12)/12)),0)</f>
        <v/>
      </c>
      <c r="E11" s="4">
        <f>ROUND(IF(E$3&lt;Assumptions!$B23,0,IF(E$3&lt;=12,Assumptions!$C23*Assumptions!$B$4*(E$3-Assumptions!$B23+1)/MAX(1,12-Assumptions!$B23+1),Assumptions!$C23*Assumptions!$B$4+(Assumptions!$D23-Assumptions!$C23)*Assumptions!$B$4*(E$3-12)/12)),0)</f>
        <v/>
      </c>
      <c r="F11" s="4">
        <f>ROUND(IF(F$3&lt;Assumptions!$B23,0,IF(F$3&lt;=12,Assumptions!$C23*Assumptions!$B$4*(F$3-Assumptions!$B23+1)/MAX(1,12-Assumptions!$B23+1),Assumptions!$C23*Assumptions!$B$4+(Assumptions!$D23-Assumptions!$C23)*Assumptions!$B$4*(F$3-12)/12)),0)</f>
        <v/>
      </c>
      <c r="G11" s="4">
        <f>ROUND(IF(G$3&lt;Assumptions!$B23,0,IF(G$3&lt;=12,Assumptions!$C23*Assumptions!$B$4*(G$3-Assumptions!$B23+1)/MAX(1,12-Assumptions!$B23+1),Assumptions!$C23*Assumptions!$B$4+(Assumptions!$D23-Assumptions!$C23)*Assumptions!$B$4*(G$3-12)/12)),0)</f>
        <v/>
      </c>
      <c r="H11" s="4">
        <f>ROUND(IF(H$3&lt;Assumptions!$B23,0,IF(H$3&lt;=12,Assumptions!$C23*Assumptions!$B$4*(H$3-Assumptions!$B23+1)/MAX(1,12-Assumptions!$B23+1),Assumptions!$C23*Assumptions!$B$4+(Assumptions!$D23-Assumptions!$C23)*Assumptions!$B$4*(H$3-12)/12)),0)</f>
        <v/>
      </c>
      <c r="I11" s="4">
        <f>ROUND(IF(I$3&lt;Assumptions!$B23,0,IF(I$3&lt;=12,Assumptions!$C23*Assumptions!$B$4*(I$3-Assumptions!$B23+1)/MAX(1,12-Assumptions!$B23+1),Assumptions!$C23*Assumptions!$B$4+(Assumptions!$D23-Assumptions!$C23)*Assumptions!$B$4*(I$3-12)/12)),0)</f>
        <v/>
      </c>
      <c r="J11" s="4">
        <f>ROUND(IF(J$3&lt;Assumptions!$B23,0,IF(J$3&lt;=12,Assumptions!$C23*Assumptions!$B$4*(J$3-Assumptions!$B23+1)/MAX(1,12-Assumptions!$B23+1),Assumptions!$C23*Assumptions!$B$4+(Assumptions!$D23-Assumptions!$C23)*Assumptions!$B$4*(J$3-12)/12)),0)</f>
        <v/>
      </c>
      <c r="K11" s="4">
        <f>ROUND(IF(K$3&lt;Assumptions!$B23,0,IF(K$3&lt;=12,Assumptions!$C23*Assumptions!$B$4*(K$3-Assumptions!$B23+1)/MAX(1,12-Assumptions!$B23+1),Assumptions!$C23*Assumptions!$B$4+(Assumptions!$D23-Assumptions!$C23)*Assumptions!$B$4*(K$3-12)/12)),0)</f>
        <v/>
      </c>
      <c r="L11" s="4">
        <f>ROUND(IF(L$3&lt;Assumptions!$B23,0,IF(L$3&lt;=12,Assumptions!$C23*Assumptions!$B$4*(L$3-Assumptions!$B23+1)/MAX(1,12-Assumptions!$B23+1),Assumptions!$C23*Assumptions!$B$4+(Assumptions!$D23-Assumptions!$C23)*Assumptions!$B$4*(L$3-12)/12)),0)</f>
        <v/>
      </c>
      <c r="M11" s="4">
        <f>ROUND(IF(M$3&lt;Assumptions!$B23,0,IF(M$3&lt;=12,Assumptions!$C23*Assumptions!$B$4*(M$3-Assumptions!$B23+1)/MAX(1,12-Assumptions!$B23+1),Assumptions!$C23*Assumptions!$B$4+(Assumptions!$D23-Assumptions!$C23)*Assumptions!$B$4*(M$3-12)/12)),0)</f>
        <v/>
      </c>
      <c r="N11" s="4">
        <f>ROUND(IF(N$3&lt;Assumptions!$B23,0,IF(N$3&lt;=12,Assumptions!$C23*Assumptions!$B$4*(N$3-Assumptions!$B23+1)/MAX(1,12-Assumptions!$B23+1),Assumptions!$C23*Assumptions!$B$4+(Assumptions!$D23-Assumptions!$C23)*Assumptions!$B$4*(N$3-12)/12)),0)</f>
        <v/>
      </c>
      <c r="O11" s="4">
        <f>ROUND(IF(O$3&lt;Assumptions!$B23,0,IF(O$3&lt;=12,Assumptions!$C23*Assumptions!$B$4*(O$3-Assumptions!$B23+1)/MAX(1,12-Assumptions!$B23+1),Assumptions!$C23*Assumptions!$B$4+(Assumptions!$D23-Assumptions!$C23)*Assumptions!$B$4*(O$3-12)/12)),0)</f>
        <v/>
      </c>
      <c r="P11" s="4">
        <f>ROUND(IF(P$3&lt;Assumptions!$B23,0,IF(P$3&lt;=12,Assumptions!$C23*Assumptions!$B$4*(P$3-Assumptions!$B23+1)/MAX(1,12-Assumptions!$B23+1),Assumptions!$C23*Assumptions!$B$4+(Assumptions!$D23-Assumptions!$C23)*Assumptions!$B$4*(P$3-12)/12)),0)</f>
        <v/>
      </c>
      <c r="Q11" s="4">
        <f>ROUND(IF(Q$3&lt;Assumptions!$B23,0,IF(Q$3&lt;=12,Assumptions!$C23*Assumptions!$B$4*(Q$3-Assumptions!$B23+1)/MAX(1,12-Assumptions!$B23+1),Assumptions!$C23*Assumptions!$B$4+(Assumptions!$D23-Assumptions!$C23)*Assumptions!$B$4*(Q$3-12)/12)),0)</f>
        <v/>
      </c>
      <c r="R11" s="4">
        <f>ROUND(IF(R$3&lt;Assumptions!$B23,0,IF(R$3&lt;=12,Assumptions!$C23*Assumptions!$B$4*(R$3-Assumptions!$B23+1)/MAX(1,12-Assumptions!$B23+1),Assumptions!$C23*Assumptions!$B$4+(Assumptions!$D23-Assumptions!$C23)*Assumptions!$B$4*(R$3-12)/12)),0)</f>
        <v/>
      </c>
      <c r="S11" s="4">
        <f>ROUND(IF(S$3&lt;Assumptions!$B23,0,IF(S$3&lt;=12,Assumptions!$C23*Assumptions!$B$4*(S$3-Assumptions!$B23+1)/MAX(1,12-Assumptions!$B23+1),Assumptions!$C23*Assumptions!$B$4+(Assumptions!$D23-Assumptions!$C23)*Assumptions!$B$4*(S$3-12)/12)),0)</f>
        <v/>
      </c>
      <c r="T11" s="4">
        <f>ROUND(IF(T$3&lt;Assumptions!$B23,0,IF(T$3&lt;=12,Assumptions!$C23*Assumptions!$B$4*(T$3-Assumptions!$B23+1)/MAX(1,12-Assumptions!$B23+1),Assumptions!$C23*Assumptions!$B$4+(Assumptions!$D23-Assumptions!$C23)*Assumptions!$B$4*(T$3-12)/12)),0)</f>
        <v/>
      </c>
      <c r="U11" s="4">
        <f>ROUND(IF(U$3&lt;Assumptions!$B23,0,IF(U$3&lt;=12,Assumptions!$C23*Assumptions!$B$4*(U$3-Assumptions!$B23+1)/MAX(1,12-Assumptions!$B23+1),Assumptions!$C23*Assumptions!$B$4+(Assumptions!$D23-Assumptions!$C23)*Assumptions!$B$4*(U$3-12)/12)),0)</f>
        <v/>
      </c>
      <c r="V11" s="4">
        <f>ROUND(IF(V$3&lt;Assumptions!$B23,0,IF(V$3&lt;=12,Assumptions!$C23*Assumptions!$B$4*(V$3-Assumptions!$B23+1)/MAX(1,12-Assumptions!$B23+1),Assumptions!$C23*Assumptions!$B$4+(Assumptions!$D23-Assumptions!$C23)*Assumptions!$B$4*(V$3-12)/12)),0)</f>
        <v/>
      </c>
      <c r="W11" s="4">
        <f>ROUND(IF(W$3&lt;Assumptions!$B23,0,IF(W$3&lt;=12,Assumptions!$C23*Assumptions!$B$4*(W$3-Assumptions!$B23+1)/MAX(1,12-Assumptions!$B23+1),Assumptions!$C23*Assumptions!$B$4+(Assumptions!$D23-Assumptions!$C23)*Assumptions!$B$4*(W$3-12)/12)),0)</f>
        <v/>
      </c>
      <c r="X11" s="4">
        <f>ROUND(IF(X$3&lt;Assumptions!$B23,0,IF(X$3&lt;=12,Assumptions!$C23*Assumptions!$B$4*(X$3-Assumptions!$B23+1)/MAX(1,12-Assumptions!$B23+1),Assumptions!$C23*Assumptions!$B$4+(Assumptions!$D23-Assumptions!$C23)*Assumptions!$B$4*(X$3-12)/12)),0)</f>
        <v/>
      </c>
      <c r="Y11" s="4">
        <f>ROUND(IF(Y$3&lt;Assumptions!$B23,0,IF(Y$3&lt;=12,Assumptions!$C23*Assumptions!$B$4*(Y$3-Assumptions!$B23+1)/MAX(1,12-Assumptions!$B23+1),Assumptions!$C23*Assumptions!$B$4+(Assumptions!$D23-Assumptions!$C23)*Assumptions!$B$4*(Y$3-12)/12)),0)</f>
        <v/>
      </c>
    </row>
    <row r="12">
      <c r="A12" t="inlineStr">
        <is>
          <t>Healthy Room IoT (qualità aria)</t>
        </is>
      </c>
      <c r="B12" s="4">
        <f>ROUND(IF(B$3&lt;Assumptions!$B24,0,IF(B$3&lt;=12,Assumptions!$C24*Assumptions!$B$4*(B$3-Assumptions!$B24+1)/MAX(1,12-Assumptions!$B24+1),Assumptions!$C24*Assumptions!$B$4+(Assumptions!$D24-Assumptions!$C24)*Assumptions!$B$4*(B$3-12)/12)),0)</f>
        <v/>
      </c>
      <c r="C12" s="4">
        <f>ROUND(IF(C$3&lt;Assumptions!$B24,0,IF(C$3&lt;=12,Assumptions!$C24*Assumptions!$B$4*(C$3-Assumptions!$B24+1)/MAX(1,12-Assumptions!$B24+1),Assumptions!$C24*Assumptions!$B$4+(Assumptions!$D24-Assumptions!$C24)*Assumptions!$B$4*(C$3-12)/12)),0)</f>
        <v/>
      </c>
      <c r="D12" s="4">
        <f>ROUND(IF(D$3&lt;Assumptions!$B24,0,IF(D$3&lt;=12,Assumptions!$C24*Assumptions!$B$4*(D$3-Assumptions!$B24+1)/MAX(1,12-Assumptions!$B24+1),Assumptions!$C24*Assumptions!$B$4+(Assumptions!$D24-Assumptions!$C24)*Assumptions!$B$4*(D$3-12)/12)),0)</f>
        <v/>
      </c>
      <c r="E12" s="4">
        <f>ROUND(IF(E$3&lt;Assumptions!$B24,0,IF(E$3&lt;=12,Assumptions!$C24*Assumptions!$B$4*(E$3-Assumptions!$B24+1)/MAX(1,12-Assumptions!$B24+1),Assumptions!$C24*Assumptions!$B$4+(Assumptions!$D24-Assumptions!$C24)*Assumptions!$B$4*(E$3-12)/12)),0)</f>
        <v/>
      </c>
      <c r="F12" s="4">
        <f>ROUND(IF(F$3&lt;Assumptions!$B24,0,IF(F$3&lt;=12,Assumptions!$C24*Assumptions!$B$4*(F$3-Assumptions!$B24+1)/MAX(1,12-Assumptions!$B24+1),Assumptions!$C24*Assumptions!$B$4+(Assumptions!$D24-Assumptions!$C24)*Assumptions!$B$4*(F$3-12)/12)),0)</f>
        <v/>
      </c>
      <c r="G12" s="4">
        <f>ROUND(IF(G$3&lt;Assumptions!$B24,0,IF(G$3&lt;=12,Assumptions!$C24*Assumptions!$B$4*(G$3-Assumptions!$B24+1)/MAX(1,12-Assumptions!$B24+1),Assumptions!$C24*Assumptions!$B$4+(Assumptions!$D24-Assumptions!$C24)*Assumptions!$B$4*(G$3-12)/12)),0)</f>
        <v/>
      </c>
      <c r="H12" s="4">
        <f>ROUND(IF(H$3&lt;Assumptions!$B24,0,IF(H$3&lt;=12,Assumptions!$C24*Assumptions!$B$4*(H$3-Assumptions!$B24+1)/MAX(1,12-Assumptions!$B24+1),Assumptions!$C24*Assumptions!$B$4+(Assumptions!$D24-Assumptions!$C24)*Assumptions!$B$4*(H$3-12)/12)),0)</f>
        <v/>
      </c>
      <c r="I12" s="4">
        <f>ROUND(IF(I$3&lt;Assumptions!$B24,0,IF(I$3&lt;=12,Assumptions!$C24*Assumptions!$B$4*(I$3-Assumptions!$B24+1)/MAX(1,12-Assumptions!$B24+1),Assumptions!$C24*Assumptions!$B$4+(Assumptions!$D24-Assumptions!$C24)*Assumptions!$B$4*(I$3-12)/12)),0)</f>
        <v/>
      </c>
      <c r="J12" s="4">
        <f>ROUND(IF(J$3&lt;Assumptions!$B24,0,IF(J$3&lt;=12,Assumptions!$C24*Assumptions!$B$4*(J$3-Assumptions!$B24+1)/MAX(1,12-Assumptions!$B24+1),Assumptions!$C24*Assumptions!$B$4+(Assumptions!$D24-Assumptions!$C24)*Assumptions!$B$4*(J$3-12)/12)),0)</f>
        <v/>
      </c>
      <c r="K12" s="4">
        <f>ROUND(IF(K$3&lt;Assumptions!$B24,0,IF(K$3&lt;=12,Assumptions!$C24*Assumptions!$B$4*(K$3-Assumptions!$B24+1)/MAX(1,12-Assumptions!$B24+1),Assumptions!$C24*Assumptions!$B$4+(Assumptions!$D24-Assumptions!$C24)*Assumptions!$B$4*(K$3-12)/12)),0)</f>
        <v/>
      </c>
      <c r="L12" s="4">
        <f>ROUND(IF(L$3&lt;Assumptions!$B24,0,IF(L$3&lt;=12,Assumptions!$C24*Assumptions!$B$4*(L$3-Assumptions!$B24+1)/MAX(1,12-Assumptions!$B24+1),Assumptions!$C24*Assumptions!$B$4+(Assumptions!$D24-Assumptions!$C24)*Assumptions!$B$4*(L$3-12)/12)),0)</f>
        <v/>
      </c>
      <c r="M12" s="4">
        <f>ROUND(IF(M$3&lt;Assumptions!$B24,0,IF(M$3&lt;=12,Assumptions!$C24*Assumptions!$B$4*(M$3-Assumptions!$B24+1)/MAX(1,12-Assumptions!$B24+1),Assumptions!$C24*Assumptions!$B$4+(Assumptions!$D24-Assumptions!$C24)*Assumptions!$B$4*(M$3-12)/12)),0)</f>
        <v/>
      </c>
      <c r="N12" s="4">
        <f>ROUND(IF(N$3&lt;Assumptions!$B24,0,IF(N$3&lt;=12,Assumptions!$C24*Assumptions!$B$4*(N$3-Assumptions!$B24+1)/MAX(1,12-Assumptions!$B24+1),Assumptions!$C24*Assumptions!$B$4+(Assumptions!$D24-Assumptions!$C24)*Assumptions!$B$4*(N$3-12)/12)),0)</f>
        <v/>
      </c>
      <c r="O12" s="4">
        <f>ROUND(IF(O$3&lt;Assumptions!$B24,0,IF(O$3&lt;=12,Assumptions!$C24*Assumptions!$B$4*(O$3-Assumptions!$B24+1)/MAX(1,12-Assumptions!$B24+1),Assumptions!$C24*Assumptions!$B$4+(Assumptions!$D24-Assumptions!$C24)*Assumptions!$B$4*(O$3-12)/12)),0)</f>
        <v/>
      </c>
      <c r="P12" s="4">
        <f>ROUND(IF(P$3&lt;Assumptions!$B24,0,IF(P$3&lt;=12,Assumptions!$C24*Assumptions!$B$4*(P$3-Assumptions!$B24+1)/MAX(1,12-Assumptions!$B24+1),Assumptions!$C24*Assumptions!$B$4+(Assumptions!$D24-Assumptions!$C24)*Assumptions!$B$4*(P$3-12)/12)),0)</f>
        <v/>
      </c>
      <c r="Q12" s="4">
        <f>ROUND(IF(Q$3&lt;Assumptions!$B24,0,IF(Q$3&lt;=12,Assumptions!$C24*Assumptions!$B$4*(Q$3-Assumptions!$B24+1)/MAX(1,12-Assumptions!$B24+1),Assumptions!$C24*Assumptions!$B$4+(Assumptions!$D24-Assumptions!$C24)*Assumptions!$B$4*(Q$3-12)/12)),0)</f>
        <v/>
      </c>
      <c r="R12" s="4">
        <f>ROUND(IF(R$3&lt;Assumptions!$B24,0,IF(R$3&lt;=12,Assumptions!$C24*Assumptions!$B$4*(R$3-Assumptions!$B24+1)/MAX(1,12-Assumptions!$B24+1),Assumptions!$C24*Assumptions!$B$4+(Assumptions!$D24-Assumptions!$C24)*Assumptions!$B$4*(R$3-12)/12)),0)</f>
        <v/>
      </c>
      <c r="S12" s="4">
        <f>ROUND(IF(S$3&lt;Assumptions!$B24,0,IF(S$3&lt;=12,Assumptions!$C24*Assumptions!$B$4*(S$3-Assumptions!$B24+1)/MAX(1,12-Assumptions!$B24+1),Assumptions!$C24*Assumptions!$B$4+(Assumptions!$D24-Assumptions!$C24)*Assumptions!$B$4*(S$3-12)/12)),0)</f>
        <v/>
      </c>
      <c r="T12" s="4">
        <f>ROUND(IF(T$3&lt;Assumptions!$B24,0,IF(T$3&lt;=12,Assumptions!$C24*Assumptions!$B$4*(T$3-Assumptions!$B24+1)/MAX(1,12-Assumptions!$B24+1),Assumptions!$C24*Assumptions!$B$4+(Assumptions!$D24-Assumptions!$C24)*Assumptions!$B$4*(T$3-12)/12)),0)</f>
        <v/>
      </c>
      <c r="U12" s="4">
        <f>ROUND(IF(U$3&lt;Assumptions!$B24,0,IF(U$3&lt;=12,Assumptions!$C24*Assumptions!$B$4*(U$3-Assumptions!$B24+1)/MAX(1,12-Assumptions!$B24+1),Assumptions!$C24*Assumptions!$B$4+(Assumptions!$D24-Assumptions!$C24)*Assumptions!$B$4*(U$3-12)/12)),0)</f>
        <v/>
      </c>
      <c r="V12" s="4">
        <f>ROUND(IF(V$3&lt;Assumptions!$B24,0,IF(V$3&lt;=12,Assumptions!$C24*Assumptions!$B$4*(V$3-Assumptions!$B24+1)/MAX(1,12-Assumptions!$B24+1),Assumptions!$C24*Assumptions!$B$4+(Assumptions!$D24-Assumptions!$C24)*Assumptions!$B$4*(V$3-12)/12)),0)</f>
        <v/>
      </c>
      <c r="W12" s="4">
        <f>ROUND(IF(W$3&lt;Assumptions!$B24,0,IF(W$3&lt;=12,Assumptions!$C24*Assumptions!$B$4*(W$3-Assumptions!$B24+1)/MAX(1,12-Assumptions!$B24+1),Assumptions!$C24*Assumptions!$B$4+(Assumptions!$D24-Assumptions!$C24)*Assumptions!$B$4*(W$3-12)/12)),0)</f>
        <v/>
      </c>
      <c r="X12" s="4">
        <f>ROUND(IF(X$3&lt;Assumptions!$B24,0,IF(X$3&lt;=12,Assumptions!$C24*Assumptions!$B$4*(X$3-Assumptions!$B24+1)/MAX(1,12-Assumptions!$B24+1),Assumptions!$C24*Assumptions!$B$4+(Assumptions!$D24-Assumptions!$C24)*Assumptions!$B$4*(X$3-12)/12)),0)</f>
        <v/>
      </c>
      <c r="Y12" s="4">
        <f>ROUND(IF(Y$3&lt;Assumptions!$B24,0,IF(Y$3&lt;=12,Assumptions!$C24*Assumptions!$B$4*(Y$3-Assumptions!$B24+1)/MAX(1,12-Assumptions!$B24+1),Assumptions!$C24*Assumptions!$B$4+(Assumptions!$D24-Assumptions!$C24)*Assumptions!$B$4*(Y$3-12)/12)),0)</f>
        <v/>
      </c>
    </row>
    <row r="13">
      <c r="A13" t="inlineStr">
        <is>
          <t>Marketplace locale (tour, transfer, eSIM)</t>
        </is>
      </c>
      <c r="B13" s="4">
        <f>ROUND(IF(B$3&lt;Assumptions!$B25,0,IF(B$3&lt;=12,Assumptions!$C25*Assumptions!$B$4*(B$3-Assumptions!$B25+1)/MAX(1,12-Assumptions!$B25+1),Assumptions!$C25*Assumptions!$B$4+(Assumptions!$D25-Assumptions!$C25)*Assumptions!$B$4*(B$3-12)/12)),0)</f>
        <v/>
      </c>
      <c r="C13" s="4">
        <f>ROUND(IF(C$3&lt;Assumptions!$B25,0,IF(C$3&lt;=12,Assumptions!$C25*Assumptions!$B$4*(C$3-Assumptions!$B25+1)/MAX(1,12-Assumptions!$B25+1),Assumptions!$C25*Assumptions!$B$4+(Assumptions!$D25-Assumptions!$C25)*Assumptions!$B$4*(C$3-12)/12)),0)</f>
        <v/>
      </c>
      <c r="D13" s="4">
        <f>ROUND(IF(D$3&lt;Assumptions!$B25,0,IF(D$3&lt;=12,Assumptions!$C25*Assumptions!$B$4*(D$3-Assumptions!$B25+1)/MAX(1,12-Assumptions!$B25+1),Assumptions!$C25*Assumptions!$B$4+(Assumptions!$D25-Assumptions!$C25)*Assumptions!$B$4*(D$3-12)/12)),0)</f>
        <v/>
      </c>
      <c r="E13" s="4">
        <f>ROUND(IF(E$3&lt;Assumptions!$B25,0,IF(E$3&lt;=12,Assumptions!$C25*Assumptions!$B$4*(E$3-Assumptions!$B25+1)/MAX(1,12-Assumptions!$B25+1),Assumptions!$C25*Assumptions!$B$4+(Assumptions!$D25-Assumptions!$C25)*Assumptions!$B$4*(E$3-12)/12)),0)</f>
        <v/>
      </c>
      <c r="F13" s="4">
        <f>ROUND(IF(F$3&lt;Assumptions!$B25,0,IF(F$3&lt;=12,Assumptions!$C25*Assumptions!$B$4*(F$3-Assumptions!$B25+1)/MAX(1,12-Assumptions!$B25+1),Assumptions!$C25*Assumptions!$B$4+(Assumptions!$D25-Assumptions!$C25)*Assumptions!$B$4*(F$3-12)/12)),0)</f>
        <v/>
      </c>
      <c r="G13" s="4">
        <f>ROUND(IF(G$3&lt;Assumptions!$B25,0,IF(G$3&lt;=12,Assumptions!$C25*Assumptions!$B$4*(G$3-Assumptions!$B25+1)/MAX(1,12-Assumptions!$B25+1),Assumptions!$C25*Assumptions!$B$4+(Assumptions!$D25-Assumptions!$C25)*Assumptions!$B$4*(G$3-12)/12)),0)</f>
        <v/>
      </c>
      <c r="H13" s="4">
        <f>ROUND(IF(H$3&lt;Assumptions!$B25,0,IF(H$3&lt;=12,Assumptions!$C25*Assumptions!$B$4*(H$3-Assumptions!$B25+1)/MAX(1,12-Assumptions!$B25+1),Assumptions!$C25*Assumptions!$B$4+(Assumptions!$D25-Assumptions!$C25)*Assumptions!$B$4*(H$3-12)/12)),0)</f>
        <v/>
      </c>
      <c r="I13" s="4">
        <f>ROUND(IF(I$3&lt;Assumptions!$B25,0,IF(I$3&lt;=12,Assumptions!$C25*Assumptions!$B$4*(I$3-Assumptions!$B25+1)/MAX(1,12-Assumptions!$B25+1),Assumptions!$C25*Assumptions!$B$4+(Assumptions!$D25-Assumptions!$C25)*Assumptions!$B$4*(I$3-12)/12)),0)</f>
        <v/>
      </c>
      <c r="J13" s="4">
        <f>ROUND(IF(J$3&lt;Assumptions!$B25,0,IF(J$3&lt;=12,Assumptions!$C25*Assumptions!$B$4*(J$3-Assumptions!$B25+1)/MAX(1,12-Assumptions!$B25+1),Assumptions!$C25*Assumptions!$B$4+(Assumptions!$D25-Assumptions!$C25)*Assumptions!$B$4*(J$3-12)/12)),0)</f>
        <v/>
      </c>
      <c r="K13" s="4">
        <f>ROUND(IF(K$3&lt;Assumptions!$B25,0,IF(K$3&lt;=12,Assumptions!$C25*Assumptions!$B$4*(K$3-Assumptions!$B25+1)/MAX(1,12-Assumptions!$B25+1),Assumptions!$C25*Assumptions!$B$4+(Assumptions!$D25-Assumptions!$C25)*Assumptions!$B$4*(K$3-12)/12)),0)</f>
        <v/>
      </c>
      <c r="L13" s="4">
        <f>ROUND(IF(L$3&lt;Assumptions!$B25,0,IF(L$3&lt;=12,Assumptions!$C25*Assumptions!$B$4*(L$3-Assumptions!$B25+1)/MAX(1,12-Assumptions!$B25+1),Assumptions!$C25*Assumptions!$B$4+(Assumptions!$D25-Assumptions!$C25)*Assumptions!$B$4*(L$3-12)/12)),0)</f>
        <v/>
      </c>
      <c r="M13" s="4">
        <f>ROUND(IF(M$3&lt;Assumptions!$B25,0,IF(M$3&lt;=12,Assumptions!$C25*Assumptions!$B$4*(M$3-Assumptions!$B25+1)/MAX(1,12-Assumptions!$B25+1),Assumptions!$C25*Assumptions!$B$4+(Assumptions!$D25-Assumptions!$C25)*Assumptions!$B$4*(M$3-12)/12)),0)</f>
        <v/>
      </c>
      <c r="N13" s="4">
        <f>ROUND(IF(N$3&lt;Assumptions!$B25,0,IF(N$3&lt;=12,Assumptions!$C25*Assumptions!$B$4*(N$3-Assumptions!$B25+1)/MAX(1,12-Assumptions!$B25+1),Assumptions!$C25*Assumptions!$B$4+(Assumptions!$D25-Assumptions!$C25)*Assumptions!$B$4*(N$3-12)/12)),0)</f>
        <v/>
      </c>
      <c r="O13" s="4">
        <f>ROUND(IF(O$3&lt;Assumptions!$B25,0,IF(O$3&lt;=12,Assumptions!$C25*Assumptions!$B$4*(O$3-Assumptions!$B25+1)/MAX(1,12-Assumptions!$B25+1),Assumptions!$C25*Assumptions!$B$4+(Assumptions!$D25-Assumptions!$C25)*Assumptions!$B$4*(O$3-12)/12)),0)</f>
        <v/>
      </c>
      <c r="P13" s="4">
        <f>ROUND(IF(P$3&lt;Assumptions!$B25,0,IF(P$3&lt;=12,Assumptions!$C25*Assumptions!$B$4*(P$3-Assumptions!$B25+1)/MAX(1,12-Assumptions!$B25+1),Assumptions!$C25*Assumptions!$B$4+(Assumptions!$D25-Assumptions!$C25)*Assumptions!$B$4*(P$3-12)/12)),0)</f>
        <v/>
      </c>
      <c r="Q13" s="4">
        <f>ROUND(IF(Q$3&lt;Assumptions!$B25,0,IF(Q$3&lt;=12,Assumptions!$C25*Assumptions!$B$4*(Q$3-Assumptions!$B25+1)/MAX(1,12-Assumptions!$B25+1),Assumptions!$C25*Assumptions!$B$4+(Assumptions!$D25-Assumptions!$C25)*Assumptions!$B$4*(Q$3-12)/12)),0)</f>
        <v/>
      </c>
      <c r="R13" s="4">
        <f>ROUND(IF(R$3&lt;Assumptions!$B25,0,IF(R$3&lt;=12,Assumptions!$C25*Assumptions!$B$4*(R$3-Assumptions!$B25+1)/MAX(1,12-Assumptions!$B25+1),Assumptions!$C25*Assumptions!$B$4+(Assumptions!$D25-Assumptions!$C25)*Assumptions!$B$4*(R$3-12)/12)),0)</f>
        <v/>
      </c>
      <c r="S13" s="4">
        <f>ROUND(IF(S$3&lt;Assumptions!$B25,0,IF(S$3&lt;=12,Assumptions!$C25*Assumptions!$B$4*(S$3-Assumptions!$B25+1)/MAX(1,12-Assumptions!$B25+1),Assumptions!$C25*Assumptions!$B$4+(Assumptions!$D25-Assumptions!$C25)*Assumptions!$B$4*(S$3-12)/12)),0)</f>
        <v/>
      </c>
      <c r="T13" s="4">
        <f>ROUND(IF(T$3&lt;Assumptions!$B25,0,IF(T$3&lt;=12,Assumptions!$C25*Assumptions!$B$4*(T$3-Assumptions!$B25+1)/MAX(1,12-Assumptions!$B25+1),Assumptions!$C25*Assumptions!$B$4+(Assumptions!$D25-Assumptions!$C25)*Assumptions!$B$4*(T$3-12)/12)),0)</f>
        <v/>
      </c>
      <c r="U13" s="4">
        <f>ROUND(IF(U$3&lt;Assumptions!$B25,0,IF(U$3&lt;=12,Assumptions!$C25*Assumptions!$B$4*(U$3-Assumptions!$B25+1)/MAX(1,12-Assumptions!$B25+1),Assumptions!$C25*Assumptions!$B$4+(Assumptions!$D25-Assumptions!$C25)*Assumptions!$B$4*(U$3-12)/12)),0)</f>
        <v/>
      </c>
      <c r="V13" s="4">
        <f>ROUND(IF(V$3&lt;Assumptions!$B25,0,IF(V$3&lt;=12,Assumptions!$C25*Assumptions!$B$4*(V$3-Assumptions!$B25+1)/MAX(1,12-Assumptions!$B25+1),Assumptions!$C25*Assumptions!$B$4+(Assumptions!$D25-Assumptions!$C25)*Assumptions!$B$4*(V$3-12)/12)),0)</f>
        <v/>
      </c>
      <c r="W13" s="4">
        <f>ROUND(IF(W$3&lt;Assumptions!$B25,0,IF(W$3&lt;=12,Assumptions!$C25*Assumptions!$B$4*(W$3-Assumptions!$B25+1)/MAX(1,12-Assumptions!$B25+1),Assumptions!$C25*Assumptions!$B$4+(Assumptions!$D25-Assumptions!$C25)*Assumptions!$B$4*(W$3-12)/12)),0)</f>
        <v/>
      </c>
      <c r="X13" s="4">
        <f>ROUND(IF(X$3&lt;Assumptions!$B25,0,IF(X$3&lt;=12,Assumptions!$C25*Assumptions!$B$4*(X$3-Assumptions!$B25+1)/MAX(1,12-Assumptions!$B25+1),Assumptions!$C25*Assumptions!$B$4+(Assumptions!$D25-Assumptions!$C25)*Assumptions!$B$4*(X$3-12)/12)),0)</f>
        <v/>
      </c>
      <c r="Y13" s="4">
        <f>ROUND(IF(Y$3&lt;Assumptions!$B25,0,IF(Y$3&lt;=12,Assumptions!$C25*Assumptions!$B$4*(Y$3-Assumptions!$B25+1)/MAX(1,12-Assumptions!$B25+1),Assumptions!$C25*Assumptions!$B$4+(Assumptions!$D25-Assumptions!$C25)*Assumptions!$B$4*(Y$3-12)/12)),0)</f>
        <v/>
      </c>
    </row>
    <row r="14">
      <c r="A14" t="inlineStr">
        <is>
          <t>Vending regolamentato tramite partner autorizzato (opzione, OFF nel base)</t>
        </is>
      </c>
      <c r="B14" s="4">
        <f>ROUND(IF(B$3&lt;Assumptions!$B26,0,IF(B$3&lt;=12,Assumptions!$C26*Assumptions!$B$4*(B$3-Assumptions!$B26+1)/MAX(1,12-Assumptions!$B26+1),Assumptions!$C26*Assumptions!$B$4+(Assumptions!$D26-Assumptions!$C26)*Assumptions!$B$4*(B$3-12)/12)),0)</f>
        <v/>
      </c>
      <c r="C14" s="4">
        <f>ROUND(IF(C$3&lt;Assumptions!$B26,0,IF(C$3&lt;=12,Assumptions!$C26*Assumptions!$B$4*(C$3-Assumptions!$B26+1)/MAX(1,12-Assumptions!$B26+1),Assumptions!$C26*Assumptions!$B$4+(Assumptions!$D26-Assumptions!$C26)*Assumptions!$B$4*(C$3-12)/12)),0)</f>
        <v/>
      </c>
      <c r="D14" s="4">
        <f>ROUND(IF(D$3&lt;Assumptions!$B26,0,IF(D$3&lt;=12,Assumptions!$C26*Assumptions!$B$4*(D$3-Assumptions!$B26+1)/MAX(1,12-Assumptions!$B26+1),Assumptions!$C26*Assumptions!$B$4+(Assumptions!$D26-Assumptions!$C26)*Assumptions!$B$4*(D$3-12)/12)),0)</f>
        <v/>
      </c>
      <c r="E14" s="4">
        <f>ROUND(IF(E$3&lt;Assumptions!$B26,0,IF(E$3&lt;=12,Assumptions!$C26*Assumptions!$B$4*(E$3-Assumptions!$B26+1)/MAX(1,12-Assumptions!$B26+1),Assumptions!$C26*Assumptions!$B$4+(Assumptions!$D26-Assumptions!$C26)*Assumptions!$B$4*(E$3-12)/12)),0)</f>
        <v/>
      </c>
      <c r="F14" s="4">
        <f>ROUND(IF(F$3&lt;Assumptions!$B26,0,IF(F$3&lt;=12,Assumptions!$C26*Assumptions!$B$4*(F$3-Assumptions!$B26+1)/MAX(1,12-Assumptions!$B26+1),Assumptions!$C26*Assumptions!$B$4+(Assumptions!$D26-Assumptions!$C26)*Assumptions!$B$4*(F$3-12)/12)),0)</f>
        <v/>
      </c>
      <c r="G14" s="4">
        <f>ROUND(IF(G$3&lt;Assumptions!$B26,0,IF(G$3&lt;=12,Assumptions!$C26*Assumptions!$B$4*(G$3-Assumptions!$B26+1)/MAX(1,12-Assumptions!$B26+1),Assumptions!$C26*Assumptions!$B$4+(Assumptions!$D26-Assumptions!$C26)*Assumptions!$B$4*(G$3-12)/12)),0)</f>
        <v/>
      </c>
      <c r="H14" s="4">
        <f>ROUND(IF(H$3&lt;Assumptions!$B26,0,IF(H$3&lt;=12,Assumptions!$C26*Assumptions!$B$4*(H$3-Assumptions!$B26+1)/MAX(1,12-Assumptions!$B26+1),Assumptions!$C26*Assumptions!$B$4+(Assumptions!$D26-Assumptions!$C26)*Assumptions!$B$4*(H$3-12)/12)),0)</f>
        <v/>
      </c>
      <c r="I14" s="4">
        <f>ROUND(IF(I$3&lt;Assumptions!$B26,0,IF(I$3&lt;=12,Assumptions!$C26*Assumptions!$B$4*(I$3-Assumptions!$B26+1)/MAX(1,12-Assumptions!$B26+1),Assumptions!$C26*Assumptions!$B$4+(Assumptions!$D26-Assumptions!$C26)*Assumptions!$B$4*(I$3-12)/12)),0)</f>
        <v/>
      </c>
      <c r="J14" s="4">
        <f>ROUND(IF(J$3&lt;Assumptions!$B26,0,IF(J$3&lt;=12,Assumptions!$C26*Assumptions!$B$4*(J$3-Assumptions!$B26+1)/MAX(1,12-Assumptions!$B26+1),Assumptions!$C26*Assumptions!$B$4+(Assumptions!$D26-Assumptions!$C26)*Assumptions!$B$4*(J$3-12)/12)),0)</f>
        <v/>
      </c>
      <c r="K14" s="4">
        <f>ROUND(IF(K$3&lt;Assumptions!$B26,0,IF(K$3&lt;=12,Assumptions!$C26*Assumptions!$B$4*(K$3-Assumptions!$B26+1)/MAX(1,12-Assumptions!$B26+1),Assumptions!$C26*Assumptions!$B$4+(Assumptions!$D26-Assumptions!$C26)*Assumptions!$B$4*(K$3-12)/12)),0)</f>
        <v/>
      </c>
      <c r="L14" s="4">
        <f>ROUND(IF(L$3&lt;Assumptions!$B26,0,IF(L$3&lt;=12,Assumptions!$C26*Assumptions!$B$4*(L$3-Assumptions!$B26+1)/MAX(1,12-Assumptions!$B26+1),Assumptions!$C26*Assumptions!$B$4+(Assumptions!$D26-Assumptions!$C26)*Assumptions!$B$4*(L$3-12)/12)),0)</f>
        <v/>
      </c>
      <c r="M14" s="4">
        <f>ROUND(IF(M$3&lt;Assumptions!$B26,0,IF(M$3&lt;=12,Assumptions!$C26*Assumptions!$B$4*(M$3-Assumptions!$B26+1)/MAX(1,12-Assumptions!$B26+1),Assumptions!$C26*Assumptions!$B$4+(Assumptions!$D26-Assumptions!$C26)*Assumptions!$B$4*(M$3-12)/12)),0)</f>
        <v/>
      </c>
      <c r="N14" s="4">
        <f>ROUND(IF(N$3&lt;Assumptions!$B26,0,IF(N$3&lt;=12,Assumptions!$C26*Assumptions!$B$4*(N$3-Assumptions!$B26+1)/MAX(1,12-Assumptions!$B26+1),Assumptions!$C26*Assumptions!$B$4+(Assumptions!$D26-Assumptions!$C26)*Assumptions!$B$4*(N$3-12)/12)),0)</f>
        <v/>
      </c>
      <c r="O14" s="4">
        <f>ROUND(IF(O$3&lt;Assumptions!$B26,0,IF(O$3&lt;=12,Assumptions!$C26*Assumptions!$B$4*(O$3-Assumptions!$B26+1)/MAX(1,12-Assumptions!$B26+1),Assumptions!$C26*Assumptions!$B$4+(Assumptions!$D26-Assumptions!$C26)*Assumptions!$B$4*(O$3-12)/12)),0)</f>
        <v/>
      </c>
      <c r="P14" s="4">
        <f>ROUND(IF(P$3&lt;Assumptions!$B26,0,IF(P$3&lt;=12,Assumptions!$C26*Assumptions!$B$4*(P$3-Assumptions!$B26+1)/MAX(1,12-Assumptions!$B26+1),Assumptions!$C26*Assumptions!$B$4+(Assumptions!$D26-Assumptions!$C26)*Assumptions!$B$4*(P$3-12)/12)),0)</f>
        <v/>
      </c>
      <c r="Q14" s="4">
        <f>ROUND(IF(Q$3&lt;Assumptions!$B26,0,IF(Q$3&lt;=12,Assumptions!$C26*Assumptions!$B$4*(Q$3-Assumptions!$B26+1)/MAX(1,12-Assumptions!$B26+1),Assumptions!$C26*Assumptions!$B$4+(Assumptions!$D26-Assumptions!$C26)*Assumptions!$B$4*(Q$3-12)/12)),0)</f>
        <v/>
      </c>
      <c r="R14" s="4">
        <f>ROUND(IF(R$3&lt;Assumptions!$B26,0,IF(R$3&lt;=12,Assumptions!$C26*Assumptions!$B$4*(R$3-Assumptions!$B26+1)/MAX(1,12-Assumptions!$B26+1),Assumptions!$C26*Assumptions!$B$4+(Assumptions!$D26-Assumptions!$C26)*Assumptions!$B$4*(R$3-12)/12)),0)</f>
        <v/>
      </c>
      <c r="S14" s="4">
        <f>ROUND(IF(S$3&lt;Assumptions!$B26,0,IF(S$3&lt;=12,Assumptions!$C26*Assumptions!$B$4*(S$3-Assumptions!$B26+1)/MAX(1,12-Assumptions!$B26+1),Assumptions!$C26*Assumptions!$B$4+(Assumptions!$D26-Assumptions!$C26)*Assumptions!$B$4*(S$3-12)/12)),0)</f>
        <v/>
      </c>
      <c r="T14" s="4">
        <f>ROUND(IF(T$3&lt;Assumptions!$B26,0,IF(T$3&lt;=12,Assumptions!$C26*Assumptions!$B$4*(T$3-Assumptions!$B26+1)/MAX(1,12-Assumptions!$B26+1),Assumptions!$C26*Assumptions!$B$4+(Assumptions!$D26-Assumptions!$C26)*Assumptions!$B$4*(T$3-12)/12)),0)</f>
        <v/>
      </c>
      <c r="U14" s="4">
        <f>ROUND(IF(U$3&lt;Assumptions!$B26,0,IF(U$3&lt;=12,Assumptions!$C26*Assumptions!$B$4*(U$3-Assumptions!$B26+1)/MAX(1,12-Assumptions!$B26+1),Assumptions!$C26*Assumptions!$B$4+(Assumptions!$D26-Assumptions!$C26)*Assumptions!$B$4*(U$3-12)/12)),0)</f>
        <v/>
      </c>
      <c r="V14" s="4">
        <f>ROUND(IF(V$3&lt;Assumptions!$B26,0,IF(V$3&lt;=12,Assumptions!$C26*Assumptions!$B$4*(V$3-Assumptions!$B26+1)/MAX(1,12-Assumptions!$B26+1),Assumptions!$C26*Assumptions!$B$4+(Assumptions!$D26-Assumptions!$C26)*Assumptions!$B$4*(V$3-12)/12)),0)</f>
        <v/>
      </c>
      <c r="W14" s="4">
        <f>ROUND(IF(W$3&lt;Assumptions!$B26,0,IF(W$3&lt;=12,Assumptions!$C26*Assumptions!$B$4*(W$3-Assumptions!$B26+1)/MAX(1,12-Assumptions!$B26+1),Assumptions!$C26*Assumptions!$B$4+(Assumptions!$D26-Assumptions!$C26)*Assumptions!$B$4*(W$3-12)/12)),0)</f>
        <v/>
      </c>
      <c r="X14" s="4">
        <f>ROUND(IF(X$3&lt;Assumptions!$B26,0,IF(X$3&lt;=12,Assumptions!$C26*Assumptions!$B$4*(X$3-Assumptions!$B26+1)/MAX(1,12-Assumptions!$B26+1),Assumptions!$C26*Assumptions!$B$4+(Assumptions!$D26-Assumptions!$C26)*Assumptions!$B$4*(X$3-12)/12)),0)</f>
        <v/>
      </c>
      <c r="Y14" s="4">
        <f>ROUND(IF(Y$3&lt;Assumptions!$B26,0,IF(Y$3&lt;=12,Assumptions!$C26*Assumptions!$B$4*(Y$3-Assumptions!$B26+1)/MAX(1,12-Assumptions!$B26+1),Assumptions!$C26*Assumptions!$B$4+(Assumptions!$D26-Assumptions!$C26)*Assumptions!$B$4*(Y$3-12)/12)),0)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</cols>
  <sheetData>
    <row r="1">
      <c r="A1" s="5" t="inlineStr">
        <is>
          <t>Ricavi ricorrenti / Ricavi setup</t>
        </is>
      </c>
    </row>
    <row r="3">
      <c r="A3" s="2" t="inlineStr">
        <is>
          <t>Ricavi ricorrenti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n">
        <v>13</v>
      </c>
      <c r="O3" s="2" t="n">
        <v>14</v>
      </c>
      <c r="P3" s="2" t="n">
        <v>15</v>
      </c>
      <c r="Q3" s="2" t="n">
        <v>16</v>
      </c>
      <c r="R3" s="2" t="n">
        <v>17</v>
      </c>
      <c r="S3" s="2" t="n">
        <v>18</v>
      </c>
      <c r="T3" s="2" t="n">
        <v>19</v>
      </c>
      <c r="U3" s="2" t="n">
        <v>20</v>
      </c>
      <c r="V3" s="2" t="n">
        <v>21</v>
      </c>
      <c r="W3" s="2" t="n">
        <v>22</v>
      </c>
      <c r="X3" s="2" t="n">
        <v>23</v>
      </c>
      <c r="Y3" s="2" t="n">
        <v>24</v>
      </c>
      <c r="Z3" s="12" t="inlineStr">
        <is>
          <t>Anno 1</t>
        </is>
      </c>
      <c r="AA3" s="12" t="inlineStr">
        <is>
          <t>Anno 2</t>
        </is>
      </c>
      <c r="AB3" s="12" t="inlineStr">
        <is>
          <t>24 mesi</t>
        </is>
      </c>
    </row>
    <row r="4">
      <c r="A4" t="inlineStr">
        <is>
          <t>Hotel Agent OS (agenti AI operativi)</t>
        </is>
      </c>
      <c r="B4" s="3">
        <f>Customers!B4*Assumptions!$I$16</f>
        <v/>
      </c>
      <c r="C4" s="3">
        <f>Customers!C4*Assumptions!$I$16</f>
        <v/>
      </c>
      <c r="D4" s="3">
        <f>Customers!D4*Assumptions!$I$16</f>
        <v/>
      </c>
      <c r="E4" s="3">
        <f>Customers!E4*Assumptions!$I$16</f>
        <v/>
      </c>
      <c r="F4" s="3">
        <f>Customers!F4*Assumptions!$I$16</f>
        <v/>
      </c>
      <c r="G4" s="3">
        <f>Customers!G4*Assumptions!$I$16</f>
        <v/>
      </c>
      <c r="H4" s="3">
        <f>Customers!H4*Assumptions!$I$16</f>
        <v/>
      </c>
      <c r="I4" s="3">
        <f>Customers!I4*Assumptions!$I$16</f>
        <v/>
      </c>
      <c r="J4" s="3">
        <f>Customers!J4*Assumptions!$I$16</f>
        <v/>
      </c>
      <c r="K4" s="3">
        <f>Customers!K4*Assumptions!$I$16</f>
        <v/>
      </c>
      <c r="L4" s="3">
        <f>Customers!L4*Assumptions!$I$16</f>
        <v/>
      </c>
      <c r="M4" s="3">
        <f>Customers!M4*Assumptions!$I$16</f>
        <v/>
      </c>
      <c r="N4" s="3">
        <f>Customers!N4*Assumptions!$I$16</f>
        <v/>
      </c>
      <c r="O4" s="3">
        <f>Customers!O4*Assumptions!$I$16</f>
        <v/>
      </c>
      <c r="P4" s="3">
        <f>Customers!P4*Assumptions!$I$16</f>
        <v/>
      </c>
      <c r="Q4" s="3">
        <f>Customers!Q4*Assumptions!$I$16</f>
        <v/>
      </c>
      <c r="R4" s="3">
        <f>Customers!R4*Assumptions!$I$16</f>
        <v/>
      </c>
      <c r="S4" s="3">
        <f>Customers!S4*Assumptions!$I$16</f>
        <v/>
      </c>
      <c r="T4" s="3">
        <f>Customers!T4*Assumptions!$I$16</f>
        <v/>
      </c>
      <c r="U4" s="3">
        <f>Customers!U4*Assumptions!$I$16</f>
        <v/>
      </c>
      <c r="V4" s="3">
        <f>Customers!V4*Assumptions!$I$16</f>
        <v/>
      </c>
      <c r="W4" s="3">
        <f>Customers!W4*Assumptions!$I$16</f>
        <v/>
      </c>
      <c r="X4" s="3">
        <f>Customers!X4*Assumptions!$I$16</f>
        <v/>
      </c>
      <c r="Y4" s="3">
        <f>Customers!Y4*Assumptions!$I$16</f>
        <v/>
      </c>
      <c r="Z4" s="3">
        <f>SUM(B4:M4)</f>
        <v/>
      </c>
      <c r="AA4" s="3">
        <f>SUM(N4:Y4)</f>
        <v/>
      </c>
      <c r="AB4" s="3">
        <f>Z4+AA4</f>
        <v/>
      </c>
    </row>
    <row r="5">
      <c r="A5" t="inlineStr">
        <is>
          <t>GuestNode Lobby (terminale in reception)</t>
        </is>
      </c>
      <c r="B5" s="3">
        <f>Customers!B5*Assumptions!$I$17</f>
        <v/>
      </c>
      <c r="C5" s="3">
        <f>Customers!C5*Assumptions!$I$17</f>
        <v/>
      </c>
      <c r="D5" s="3">
        <f>Customers!D5*Assumptions!$I$17</f>
        <v/>
      </c>
      <c r="E5" s="3">
        <f>Customers!E5*Assumptions!$I$17</f>
        <v/>
      </c>
      <c r="F5" s="3">
        <f>Customers!F5*Assumptions!$I$17</f>
        <v/>
      </c>
      <c r="G5" s="3">
        <f>Customers!G5*Assumptions!$I$17</f>
        <v/>
      </c>
      <c r="H5" s="3">
        <f>Customers!H5*Assumptions!$I$17</f>
        <v/>
      </c>
      <c r="I5" s="3">
        <f>Customers!I5*Assumptions!$I$17</f>
        <v/>
      </c>
      <c r="J5" s="3">
        <f>Customers!J5*Assumptions!$I$17</f>
        <v/>
      </c>
      <c r="K5" s="3">
        <f>Customers!K5*Assumptions!$I$17</f>
        <v/>
      </c>
      <c r="L5" s="3">
        <f>Customers!L5*Assumptions!$I$17</f>
        <v/>
      </c>
      <c r="M5" s="3">
        <f>Customers!M5*Assumptions!$I$17</f>
        <v/>
      </c>
      <c r="N5" s="3">
        <f>Customers!N5*Assumptions!$I$17</f>
        <v/>
      </c>
      <c r="O5" s="3">
        <f>Customers!O5*Assumptions!$I$17</f>
        <v/>
      </c>
      <c r="P5" s="3">
        <f>Customers!P5*Assumptions!$I$17</f>
        <v/>
      </c>
      <c r="Q5" s="3">
        <f>Customers!Q5*Assumptions!$I$17</f>
        <v/>
      </c>
      <c r="R5" s="3">
        <f>Customers!R5*Assumptions!$I$17</f>
        <v/>
      </c>
      <c r="S5" s="3">
        <f>Customers!S5*Assumptions!$I$17</f>
        <v/>
      </c>
      <c r="T5" s="3">
        <f>Customers!T5*Assumptions!$I$17</f>
        <v/>
      </c>
      <c r="U5" s="3">
        <f>Customers!U5*Assumptions!$I$17</f>
        <v/>
      </c>
      <c r="V5" s="3">
        <f>Customers!V5*Assumptions!$I$17</f>
        <v/>
      </c>
      <c r="W5" s="3">
        <f>Customers!W5*Assumptions!$I$17</f>
        <v/>
      </c>
      <c r="X5" s="3">
        <f>Customers!X5*Assumptions!$I$17</f>
        <v/>
      </c>
      <c r="Y5" s="3">
        <f>Customers!Y5*Assumptions!$I$17</f>
        <v/>
      </c>
      <c r="Z5" s="3">
        <f>SUM(B5:M5)</f>
        <v/>
      </c>
      <c r="AA5" s="3">
        <f>SUM(N5:Y5)</f>
        <v/>
      </c>
      <c r="AB5" s="3">
        <f>Z5+AA5</f>
        <v/>
      </c>
    </row>
    <row r="6">
      <c r="A6" t="inlineStr">
        <is>
          <t>GuestNode in camera</t>
        </is>
      </c>
      <c r="B6" s="3">
        <f>Customers!B6*Assumptions!$I$18</f>
        <v/>
      </c>
      <c r="C6" s="3">
        <f>Customers!C6*Assumptions!$I$18</f>
        <v/>
      </c>
      <c r="D6" s="3">
        <f>Customers!D6*Assumptions!$I$18</f>
        <v/>
      </c>
      <c r="E6" s="3">
        <f>Customers!E6*Assumptions!$I$18</f>
        <v/>
      </c>
      <c r="F6" s="3">
        <f>Customers!F6*Assumptions!$I$18</f>
        <v/>
      </c>
      <c r="G6" s="3">
        <f>Customers!G6*Assumptions!$I$18</f>
        <v/>
      </c>
      <c r="H6" s="3">
        <f>Customers!H6*Assumptions!$I$18</f>
        <v/>
      </c>
      <c r="I6" s="3">
        <f>Customers!I6*Assumptions!$I$18</f>
        <v/>
      </c>
      <c r="J6" s="3">
        <f>Customers!J6*Assumptions!$I$18</f>
        <v/>
      </c>
      <c r="K6" s="3">
        <f>Customers!K6*Assumptions!$I$18</f>
        <v/>
      </c>
      <c r="L6" s="3">
        <f>Customers!L6*Assumptions!$I$18</f>
        <v/>
      </c>
      <c r="M6" s="3">
        <f>Customers!M6*Assumptions!$I$18</f>
        <v/>
      </c>
      <c r="N6" s="3">
        <f>Customers!N6*Assumptions!$I$18</f>
        <v/>
      </c>
      <c r="O6" s="3">
        <f>Customers!O6*Assumptions!$I$18</f>
        <v/>
      </c>
      <c r="P6" s="3">
        <f>Customers!P6*Assumptions!$I$18</f>
        <v/>
      </c>
      <c r="Q6" s="3">
        <f>Customers!Q6*Assumptions!$I$18</f>
        <v/>
      </c>
      <c r="R6" s="3">
        <f>Customers!R6*Assumptions!$I$18</f>
        <v/>
      </c>
      <c r="S6" s="3">
        <f>Customers!S6*Assumptions!$I$18</f>
        <v/>
      </c>
      <c r="T6" s="3">
        <f>Customers!T6*Assumptions!$I$18</f>
        <v/>
      </c>
      <c r="U6" s="3">
        <f>Customers!U6*Assumptions!$I$18</f>
        <v/>
      </c>
      <c r="V6" s="3">
        <f>Customers!V6*Assumptions!$I$18</f>
        <v/>
      </c>
      <c r="W6" s="3">
        <f>Customers!W6*Assumptions!$I$18</f>
        <v/>
      </c>
      <c r="X6" s="3">
        <f>Customers!X6*Assumptions!$I$18</f>
        <v/>
      </c>
      <c r="Y6" s="3">
        <f>Customers!Y6*Assumptions!$I$18</f>
        <v/>
      </c>
      <c r="Z6" s="3">
        <f>SUM(B6:M6)</f>
        <v/>
      </c>
      <c r="AA6" s="3">
        <f>SUM(N6:Y6)</f>
        <v/>
      </c>
      <c r="AB6" s="3">
        <f>Z6+AA6</f>
        <v/>
      </c>
    </row>
    <row r="7">
      <c r="A7" t="inlineStr">
        <is>
          <t>Smart Travel Wall (vending/micro-market)</t>
        </is>
      </c>
      <c r="B7" s="3">
        <f>Customers!B7*Assumptions!$I$19</f>
        <v/>
      </c>
      <c r="C7" s="3">
        <f>Customers!C7*Assumptions!$I$19</f>
        <v/>
      </c>
      <c r="D7" s="3">
        <f>Customers!D7*Assumptions!$I$19</f>
        <v/>
      </c>
      <c r="E7" s="3">
        <f>Customers!E7*Assumptions!$I$19</f>
        <v/>
      </c>
      <c r="F7" s="3">
        <f>Customers!F7*Assumptions!$I$19</f>
        <v/>
      </c>
      <c r="G7" s="3">
        <f>Customers!G7*Assumptions!$I$19</f>
        <v/>
      </c>
      <c r="H7" s="3">
        <f>Customers!H7*Assumptions!$I$19</f>
        <v/>
      </c>
      <c r="I7" s="3">
        <f>Customers!I7*Assumptions!$I$19</f>
        <v/>
      </c>
      <c r="J7" s="3">
        <f>Customers!J7*Assumptions!$I$19</f>
        <v/>
      </c>
      <c r="K7" s="3">
        <f>Customers!K7*Assumptions!$I$19</f>
        <v/>
      </c>
      <c r="L7" s="3">
        <f>Customers!L7*Assumptions!$I$19</f>
        <v/>
      </c>
      <c r="M7" s="3">
        <f>Customers!M7*Assumptions!$I$19</f>
        <v/>
      </c>
      <c r="N7" s="3">
        <f>Customers!N7*Assumptions!$I$19</f>
        <v/>
      </c>
      <c r="O7" s="3">
        <f>Customers!O7*Assumptions!$I$19</f>
        <v/>
      </c>
      <c r="P7" s="3">
        <f>Customers!P7*Assumptions!$I$19</f>
        <v/>
      </c>
      <c r="Q7" s="3">
        <f>Customers!Q7*Assumptions!$I$19</f>
        <v/>
      </c>
      <c r="R7" s="3">
        <f>Customers!R7*Assumptions!$I$19</f>
        <v/>
      </c>
      <c r="S7" s="3">
        <f>Customers!S7*Assumptions!$I$19</f>
        <v/>
      </c>
      <c r="T7" s="3">
        <f>Customers!T7*Assumptions!$I$19</f>
        <v/>
      </c>
      <c r="U7" s="3">
        <f>Customers!U7*Assumptions!$I$19</f>
        <v/>
      </c>
      <c r="V7" s="3">
        <f>Customers!V7*Assumptions!$I$19</f>
        <v/>
      </c>
      <c r="W7" s="3">
        <f>Customers!W7*Assumptions!$I$19</f>
        <v/>
      </c>
      <c r="X7" s="3">
        <f>Customers!X7*Assumptions!$I$19</f>
        <v/>
      </c>
      <c r="Y7" s="3">
        <f>Customers!Y7*Assumptions!$I$19</f>
        <v/>
      </c>
      <c r="Z7" s="3">
        <f>SUM(B7:M7)</f>
        <v/>
      </c>
      <c r="AA7" s="3">
        <f>SUM(N7:Y7)</f>
        <v/>
      </c>
      <c r="AB7" s="3">
        <f>Z7+AA7</f>
        <v/>
      </c>
    </row>
    <row r="8">
      <c r="A8" t="inlineStr">
        <is>
          <t>Armadietti a noleggio</t>
        </is>
      </c>
      <c r="B8" s="3">
        <f>Customers!B8*Assumptions!$I$20</f>
        <v/>
      </c>
      <c r="C8" s="3">
        <f>Customers!C8*Assumptions!$I$20</f>
        <v/>
      </c>
      <c r="D8" s="3">
        <f>Customers!D8*Assumptions!$I$20</f>
        <v/>
      </c>
      <c r="E8" s="3">
        <f>Customers!E8*Assumptions!$I$20</f>
        <v/>
      </c>
      <c r="F8" s="3">
        <f>Customers!F8*Assumptions!$I$20</f>
        <v/>
      </c>
      <c r="G8" s="3">
        <f>Customers!G8*Assumptions!$I$20</f>
        <v/>
      </c>
      <c r="H8" s="3">
        <f>Customers!H8*Assumptions!$I$20</f>
        <v/>
      </c>
      <c r="I8" s="3">
        <f>Customers!I8*Assumptions!$I$20</f>
        <v/>
      </c>
      <c r="J8" s="3">
        <f>Customers!J8*Assumptions!$I$20</f>
        <v/>
      </c>
      <c r="K8" s="3">
        <f>Customers!K8*Assumptions!$I$20</f>
        <v/>
      </c>
      <c r="L8" s="3">
        <f>Customers!L8*Assumptions!$I$20</f>
        <v/>
      </c>
      <c r="M8" s="3">
        <f>Customers!M8*Assumptions!$I$20</f>
        <v/>
      </c>
      <c r="N8" s="3">
        <f>Customers!N8*Assumptions!$I$20</f>
        <v/>
      </c>
      <c r="O8" s="3">
        <f>Customers!O8*Assumptions!$I$20</f>
        <v/>
      </c>
      <c r="P8" s="3">
        <f>Customers!P8*Assumptions!$I$20</f>
        <v/>
      </c>
      <c r="Q8" s="3">
        <f>Customers!Q8*Assumptions!$I$20</f>
        <v/>
      </c>
      <c r="R8" s="3">
        <f>Customers!R8*Assumptions!$I$20</f>
        <v/>
      </c>
      <c r="S8" s="3">
        <f>Customers!S8*Assumptions!$I$20</f>
        <v/>
      </c>
      <c r="T8" s="3">
        <f>Customers!T8*Assumptions!$I$20</f>
        <v/>
      </c>
      <c r="U8" s="3">
        <f>Customers!U8*Assumptions!$I$20</f>
        <v/>
      </c>
      <c r="V8" s="3">
        <f>Customers!V8*Assumptions!$I$20</f>
        <v/>
      </c>
      <c r="W8" s="3">
        <f>Customers!W8*Assumptions!$I$20</f>
        <v/>
      </c>
      <c r="X8" s="3">
        <f>Customers!X8*Assumptions!$I$20</f>
        <v/>
      </c>
      <c r="Y8" s="3">
        <f>Customers!Y8*Assumptions!$I$20</f>
        <v/>
      </c>
      <c r="Z8" s="3">
        <f>SUM(B8:M8)</f>
        <v/>
      </c>
      <c r="AA8" s="3">
        <f>SUM(N8:Y8)</f>
        <v/>
      </c>
      <c r="AB8" s="3">
        <f>Z8+AA8</f>
        <v/>
      </c>
    </row>
    <row r="9">
      <c r="A9" t="inlineStr">
        <is>
          <t>Armadietti bagagli</t>
        </is>
      </c>
      <c r="B9" s="3">
        <f>Customers!B9*Assumptions!$I$21</f>
        <v/>
      </c>
      <c r="C9" s="3">
        <f>Customers!C9*Assumptions!$I$21</f>
        <v/>
      </c>
      <c r="D9" s="3">
        <f>Customers!D9*Assumptions!$I$21</f>
        <v/>
      </c>
      <c r="E9" s="3">
        <f>Customers!E9*Assumptions!$I$21</f>
        <v/>
      </c>
      <c r="F9" s="3">
        <f>Customers!F9*Assumptions!$I$21</f>
        <v/>
      </c>
      <c r="G9" s="3">
        <f>Customers!G9*Assumptions!$I$21</f>
        <v/>
      </c>
      <c r="H9" s="3">
        <f>Customers!H9*Assumptions!$I$21</f>
        <v/>
      </c>
      <c r="I9" s="3">
        <f>Customers!I9*Assumptions!$I$21</f>
        <v/>
      </c>
      <c r="J9" s="3">
        <f>Customers!J9*Assumptions!$I$21</f>
        <v/>
      </c>
      <c r="K9" s="3">
        <f>Customers!K9*Assumptions!$I$21</f>
        <v/>
      </c>
      <c r="L9" s="3">
        <f>Customers!L9*Assumptions!$I$21</f>
        <v/>
      </c>
      <c r="M9" s="3">
        <f>Customers!M9*Assumptions!$I$21</f>
        <v/>
      </c>
      <c r="N9" s="3">
        <f>Customers!N9*Assumptions!$I$21</f>
        <v/>
      </c>
      <c r="O9" s="3">
        <f>Customers!O9*Assumptions!$I$21</f>
        <v/>
      </c>
      <c r="P9" s="3">
        <f>Customers!P9*Assumptions!$I$21</f>
        <v/>
      </c>
      <c r="Q9" s="3">
        <f>Customers!Q9*Assumptions!$I$21</f>
        <v/>
      </c>
      <c r="R9" s="3">
        <f>Customers!R9*Assumptions!$I$21</f>
        <v/>
      </c>
      <c r="S9" s="3">
        <f>Customers!S9*Assumptions!$I$21</f>
        <v/>
      </c>
      <c r="T9" s="3">
        <f>Customers!T9*Assumptions!$I$21</f>
        <v/>
      </c>
      <c r="U9" s="3">
        <f>Customers!U9*Assumptions!$I$21</f>
        <v/>
      </c>
      <c r="V9" s="3">
        <f>Customers!V9*Assumptions!$I$21</f>
        <v/>
      </c>
      <c r="W9" s="3">
        <f>Customers!W9*Assumptions!$I$21</f>
        <v/>
      </c>
      <c r="X9" s="3">
        <f>Customers!X9*Assumptions!$I$21</f>
        <v/>
      </c>
      <c r="Y9" s="3">
        <f>Customers!Y9*Assumptions!$I$21</f>
        <v/>
      </c>
      <c r="Z9" s="3">
        <f>SUM(B9:M9)</f>
        <v/>
      </c>
      <c r="AA9" s="3">
        <f>SUM(N9:Y9)</f>
        <v/>
      </c>
      <c r="AB9" s="3">
        <f>Z9+AA9</f>
        <v/>
      </c>
    </row>
    <row r="10">
      <c r="A10" t="inlineStr">
        <is>
          <t>Noleggio power bank</t>
        </is>
      </c>
      <c r="B10" s="3">
        <f>Customers!B10*Assumptions!$I$22</f>
        <v/>
      </c>
      <c r="C10" s="3">
        <f>Customers!C10*Assumptions!$I$22</f>
        <v/>
      </c>
      <c r="D10" s="3">
        <f>Customers!D10*Assumptions!$I$22</f>
        <v/>
      </c>
      <c r="E10" s="3">
        <f>Customers!E10*Assumptions!$I$22</f>
        <v/>
      </c>
      <c r="F10" s="3">
        <f>Customers!F10*Assumptions!$I$22</f>
        <v/>
      </c>
      <c r="G10" s="3">
        <f>Customers!G10*Assumptions!$I$22</f>
        <v/>
      </c>
      <c r="H10" s="3">
        <f>Customers!H10*Assumptions!$I$22</f>
        <v/>
      </c>
      <c r="I10" s="3">
        <f>Customers!I10*Assumptions!$I$22</f>
        <v/>
      </c>
      <c r="J10" s="3">
        <f>Customers!J10*Assumptions!$I$22</f>
        <v/>
      </c>
      <c r="K10" s="3">
        <f>Customers!K10*Assumptions!$I$22</f>
        <v/>
      </c>
      <c r="L10" s="3">
        <f>Customers!L10*Assumptions!$I$22</f>
        <v/>
      </c>
      <c r="M10" s="3">
        <f>Customers!M10*Assumptions!$I$22</f>
        <v/>
      </c>
      <c r="N10" s="3">
        <f>Customers!N10*Assumptions!$I$22</f>
        <v/>
      </c>
      <c r="O10" s="3">
        <f>Customers!O10*Assumptions!$I$22</f>
        <v/>
      </c>
      <c r="P10" s="3">
        <f>Customers!P10*Assumptions!$I$22</f>
        <v/>
      </c>
      <c r="Q10" s="3">
        <f>Customers!Q10*Assumptions!$I$22</f>
        <v/>
      </c>
      <c r="R10" s="3">
        <f>Customers!R10*Assumptions!$I$22</f>
        <v/>
      </c>
      <c r="S10" s="3">
        <f>Customers!S10*Assumptions!$I$22</f>
        <v/>
      </c>
      <c r="T10" s="3">
        <f>Customers!T10*Assumptions!$I$22</f>
        <v/>
      </c>
      <c r="U10" s="3">
        <f>Customers!U10*Assumptions!$I$22</f>
        <v/>
      </c>
      <c r="V10" s="3">
        <f>Customers!V10*Assumptions!$I$22</f>
        <v/>
      </c>
      <c r="W10" s="3">
        <f>Customers!W10*Assumptions!$I$22</f>
        <v/>
      </c>
      <c r="X10" s="3">
        <f>Customers!X10*Assumptions!$I$22</f>
        <v/>
      </c>
      <c r="Y10" s="3">
        <f>Customers!Y10*Assumptions!$I$22</f>
        <v/>
      </c>
      <c r="Z10" s="3">
        <f>SUM(B10:M10)</f>
        <v/>
      </c>
      <c r="AA10" s="3">
        <f>SUM(N10:Y10)</f>
        <v/>
      </c>
      <c r="AB10" s="3">
        <f>Z10+AA10</f>
        <v/>
      </c>
    </row>
    <row r="11">
      <c r="A11" t="inlineStr">
        <is>
          <t>Kit IoT Energia</t>
        </is>
      </c>
      <c r="B11" s="3">
        <f>Customers!B11*Assumptions!$I$23</f>
        <v/>
      </c>
      <c r="C11" s="3">
        <f>Customers!C11*Assumptions!$I$23</f>
        <v/>
      </c>
      <c r="D11" s="3">
        <f>Customers!D11*Assumptions!$I$23</f>
        <v/>
      </c>
      <c r="E11" s="3">
        <f>Customers!E11*Assumptions!$I$23</f>
        <v/>
      </c>
      <c r="F11" s="3">
        <f>Customers!F11*Assumptions!$I$23</f>
        <v/>
      </c>
      <c r="G11" s="3">
        <f>Customers!G11*Assumptions!$I$23</f>
        <v/>
      </c>
      <c r="H11" s="3">
        <f>Customers!H11*Assumptions!$I$23</f>
        <v/>
      </c>
      <c r="I11" s="3">
        <f>Customers!I11*Assumptions!$I$23</f>
        <v/>
      </c>
      <c r="J11" s="3">
        <f>Customers!J11*Assumptions!$I$23</f>
        <v/>
      </c>
      <c r="K11" s="3">
        <f>Customers!K11*Assumptions!$I$23</f>
        <v/>
      </c>
      <c r="L11" s="3">
        <f>Customers!L11*Assumptions!$I$23</f>
        <v/>
      </c>
      <c r="M11" s="3">
        <f>Customers!M11*Assumptions!$I$23</f>
        <v/>
      </c>
      <c r="N11" s="3">
        <f>Customers!N11*Assumptions!$I$23</f>
        <v/>
      </c>
      <c r="O11" s="3">
        <f>Customers!O11*Assumptions!$I$23</f>
        <v/>
      </c>
      <c r="P11" s="3">
        <f>Customers!P11*Assumptions!$I$23</f>
        <v/>
      </c>
      <c r="Q11" s="3">
        <f>Customers!Q11*Assumptions!$I$23</f>
        <v/>
      </c>
      <c r="R11" s="3">
        <f>Customers!R11*Assumptions!$I$23</f>
        <v/>
      </c>
      <c r="S11" s="3">
        <f>Customers!S11*Assumptions!$I$23</f>
        <v/>
      </c>
      <c r="T11" s="3">
        <f>Customers!T11*Assumptions!$I$23</f>
        <v/>
      </c>
      <c r="U11" s="3">
        <f>Customers!U11*Assumptions!$I$23</f>
        <v/>
      </c>
      <c r="V11" s="3">
        <f>Customers!V11*Assumptions!$I$23</f>
        <v/>
      </c>
      <c r="W11" s="3">
        <f>Customers!W11*Assumptions!$I$23</f>
        <v/>
      </c>
      <c r="X11" s="3">
        <f>Customers!X11*Assumptions!$I$23</f>
        <v/>
      </c>
      <c r="Y11" s="3">
        <f>Customers!Y11*Assumptions!$I$23</f>
        <v/>
      </c>
      <c r="Z11" s="3">
        <f>SUM(B11:M11)</f>
        <v/>
      </c>
      <c r="AA11" s="3">
        <f>SUM(N11:Y11)</f>
        <v/>
      </c>
      <c r="AB11" s="3">
        <f>Z11+AA11</f>
        <v/>
      </c>
    </row>
    <row r="12">
      <c r="A12" t="inlineStr">
        <is>
          <t>Healthy Room IoT (qualità aria)</t>
        </is>
      </c>
      <c r="B12" s="3">
        <f>Customers!B12*Assumptions!$I$24</f>
        <v/>
      </c>
      <c r="C12" s="3">
        <f>Customers!C12*Assumptions!$I$24</f>
        <v/>
      </c>
      <c r="D12" s="3">
        <f>Customers!D12*Assumptions!$I$24</f>
        <v/>
      </c>
      <c r="E12" s="3">
        <f>Customers!E12*Assumptions!$I$24</f>
        <v/>
      </c>
      <c r="F12" s="3">
        <f>Customers!F12*Assumptions!$I$24</f>
        <v/>
      </c>
      <c r="G12" s="3">
        <f>Customers!G12*Assumptions!$I$24</f>
        <v/>
      </c>
      <c r="H12" s="3">
        <f>Customers!H12*Assumptions!$I$24</f>
        <v/>
      </c>
      <c r="I12" s="3">
        <f>Customers!I12*Assumptions!$I$24</f>
        <v/>
      </c>
      <c r="J12" s="3">
        <f>Customers!J12*Assumptions!$I$24</f>
        <v/>
      </c>
      <c r="K12" s="3">
        <f>Customers!K12*Assumptions!$I$24</f>
        <v/>
      </c>
      <c r="L12" s="3">
        <f>Customers!L12*Assumptions!$I$24</f>
        <v/>
      </c>
      <c r="M12" s="3">
        <f>Customers!M12*Assumptions!$I$24</f>
        <v/>
      </c>
      <c r="N12" s="3">
        <f>Customers!N12*Assumptions!$I$24</f>
        <v/>
      </c>
      <c r="O12" s="3">
        <f>Customers!O12*Assumptions!$I$24</f>
        <v/>
      </c>
      <c r="P12" s="3">
        <f>Customers!P12*Assumptions!$I$24</f>
        <v/>
      </c>
      <c r="Q12" s="3">
        <f>Customers!Q12*Assumptions!$I$24</f>
        <v/>
      </c>
      <c r="R12" s="3">
        <f>Customers!R12*Assumptions!$I$24</f>
        <v/>
      </c>
      <c r="S12" s="3">
        <f>Customers!S12*Assumptions!$I$24</f>
        <v/>
      </c>
      <c r="T12" s="3">
        <f>Customers!T12*Assumptions!$I$24</f>
        <v/>
      </c>
      <c r="U12" s="3">
        <f>Customers!U12*Assumptions!$I$24</f>
        <v/>
      </c>
      <c r="V12" s="3">
        <f>Customers!V12*Assumptions!$I$24</f>
        <v/>
      </c>
      <c r="W12" s="3">
        <f>Customers!W12*Assumptions!$I$24</f>
        <v/>
      </c>
      <c r="X12" s="3">
        <f>Customers!X12*Assumptions!$I$24</f>
        <v/>
      </c>
      <c r="Y12" s="3">
        <f>Customers!Y12*Assumptions!$I$24</f>
        <v/>
      </c>
      <c r="Z12" s="3">
        <f>SUM(B12:M12)</f>
        <v/>
      </c>
      <c r="AA12" s="3">
        <f>SUM(N12:Y12)</f>
        <v/>
      </c>
      <c r="AB12" s="3">
        <f>Z12+AA12</f>
        <v/>
      </c>
    </row>
    <row r="13">
      <c r="A13" t="inlineStr">
        <is>
          <t>Marketplace locale (tour, transfer, eSIM)</t>
        </is>
      </c>
      <c r="B13" s="3">
        <f>Customers!B13*Assumptions!$I$25</f>
        <v/>
      </c>
      <c r="C13" s="3">
        <f>Customers!C13*Assumptions!$I$25</f>
        <v/>
      </c>
      <c r="D13" s="3">
        <f>Customers!D13*Assumptions!$I$25</f>
        <v/>
      </c>
      <c r="E13" s="3">
        <f>Customers!E13*Assumptions!$I$25</f>
        <v/>
      </c>
      <c r="F13" s="3">
        <f>Customers!F13*Assumptions!$I$25</f>
        <v/>
      </c>
      <c r="G13" s="3">
        <f>Customers!G13*Assumptions!$I$25</f>
        <v/>
      </c>
      <c r="H13" s="3">
        <f>Customers!H13*Assumptions!$I$25</f>
        <v/>
      </c>
      <c r="I13" s="3">
        <f>Customers!I13*Assumptions!$I$25</f>
        <v/>
      </c>
      <c r="J13" s="3">
        <f>Customers!J13*Assumptions!$I$25</f>
        <v/>
      </c>
      <c r="K13" s="3">
        <f>Customers!K13*Assumptions!$I$25</f>
        <v/>
      </c>
      <c r="L13" s="3">
        <f>Customers!L13*Assumptions!$I$25</f>
        <v/>
      </c>
      <c r="M13" s="3">
        <f>Customers!M13*Assumptions!$I$25</f>
        <v/>
      </c>
      <c r="N13" s="3">
        <f>Customers!N13*Assumptions!$I$25</f>
        <v/>
      </c>
      <c r="O13" s="3">
        <f>Customers!O13*Assumptions!$I$25</f>
        <v/>
      </c>
      <c r="P13" s="3">
        <f>Customers!P13*Assumptions!$I$25</f>
        <v/>
      </c>
      <c r="Q13" s="3">
        <f>Customers!Q13*Assumptions!$I$25</f>
        <v/>
      </c>
      <c r="R13" s="3">
        <f>Customers!R13*Assumptions!$I$25</f>
        <v/>
      </c>
      <c r="S13" s="3">
        <f>Customers!S13*Assumptions!$I$25</f>
        <v/>
      </c>
      <c r="T13" s="3">
        <f>Customers!T13*Assumptions!$I$25</f>
        <v/>
      </c>
      <c r="U13" s="3">
        <f>Customers!U13*Assumptions!$I$25</f>
        <v/>
      </c>
      <c r="V13" s="3">
        <f>Customers!V13*Assumptions!$I$25</f>
        <v/>
      </c>
      <c r="W13" s="3">
        <f>Customers!W13*Assumptions!$I$25</f>
        <v/>
      </c>
      <c r="X13" s="3">
        <f>Customers!X13*Assumptions!$I$25</f>
        <v/>
      </c>
      <c r="Y13" s="3">
        <f>Customers!Y13*Assumptions!$I$25</f>
        <v/>
      </c>
      <c r="Z13" s="3">
        <f>SUM(B13:M13)</f>
        <v/>
      </c>
      <c r="AA13" s="3">
        <f>SUM(N13:Y13)</f>
        <v/>
      </c>
      <c r="AB13" s="3">
        <f>Z13+AA13</f>
        <v/>
      </c>
    </row>
    <row r="14">
      <c r="A14" t="inlineStr">
        <is>
          <t>Vending regolamentato tramite partner autorizzato (opzione, OFF nel base)</t>
        </is>
      </c>
      <c r="B14" s="3">
        <f>Customers!B14*Assumptions!$I$26</f>
        <v/>
      </c>
      <c r="C14" s="3">
        <f>Customers!C14*Assumptions!$I$26</f>
        <v/>
      </c>
      <c r="D14" s="3">
        <f>Customers!D14*Assumptions!$I$26</f>
        <v/>
      </c>
      <c r="E14" s="3">
        <f>Customers!E14*Assumptions!$I$26</f>
        <v/>
      </c>
      <c r="F14" s="3">
        <f>Customers!F14*Assumptions!$I$26</f>
        <v/>
      </c>
      <c r="G14" s="3">
        <f>Customers!G14*Assumptions!$I$26</f>
        <v/>
      </c>
      <c r="H14" s="3">
        <f>Customers!H14*Assumptions!$I$26</f>
        <v/>
      </c>
      <c r="I14" s="3">
        <f>Customers!I14*Assumptions!$I$26</f>
        <v/>
      </c>
      <c r="J14" s="3">
        <f>Customers!J14*Assumptions!$I$26</f>
        <v/>
      </c>
      <c r="K14" s="3">
        <f>Customers!K14*Assumptions!$I$26</f>
        <v/>
      </c>
      <c r="L14" s="3">
        <f>Customers!L14*Assumptions!$I$26</f>
        <v/>
      </c>
      <c r="M14" s="3">
        <f>Customers!M14*Assumptions!$I$26</f>
        <v/>
      </c>
      <c r="N14" s="3">
        <f>Customers!N14*Assumptions!$I$26</f>
        <v/>
      </c>
      <c r="O14" s="3">
        <f>Customers!O14*Assumptions!$I$26</f>
        <v/>
      </c>
      <c r="P14" s="3">
        <f>Customers!P14*Assumptions!$I$26</f>
        <v/>
      </c>
      <c r="Q14" s="3">
        <f>Customers!Q14*Assumptions!$I$26</f>
        <v/>
      </c>
      <c r="R14" s="3">
        <f>Customers!R14*Assumptions!$I$26</f>
        <v/>
      </c>
      <c r="S14" s="3">
        <f>Customers!S14*Assumptions!$I$26</f>
        <v/>
      </c>
      <c r="T14" s="3">
        <f>Customers!T14*Assumptions!$I$26</f>
        <v/>
      </c>
      <c r="U14" s="3">
        <f>Customers!U14*Assumptions!$I$26</f>
        <v/>
      </c>
      <c r="V14" s="3">
        <f>Customers!V14*Assumptions!$I$26</f>
        <v/>
      </c>
      <c r="W14" s="3">
        <f>Customers!W14*Assumptions!$I$26</f>
        <v/>
      </c>
      <c r="X14" s="3">
        <f>Customers!X14*Assumptions!$I$26</f>
        <v/>
      </c>
      <c r="Y14" s="3">
        <f>Customers!Y14*Assumptions!$I$26</f>
        <v/>
      </c>
      <c r="Z14" s="3">
        <f>SUM(B14:M14)</f>
        <v/>
      </c>
      <c r="AA14" s="3">
        <f>SUM(N14:Y14)</f>
        <v/>
      </c>
      <c r="AB14" s="3">
        <f>Z14+AA14</f>
        <v/>
      </c>
    </row>
    <row r="15">
      <c r="A15" t="inlineStr">
        <is>
          <t>Ricavi ricorrenti</t>
        </is>
      </c>
      <c r="B15" s="3">
        <f>SUM(B4:B14)</f>
        <v/>
      </c>
      <c r="C15" s="3">
        <f>SUM(C4:C14)</f>
        <v/>
      </c>
      <c r="D15" s="3">
        <f>SUM(D4:D14)</f>
        <v/>
      </c>
      <c r="E15" s="3">
        <f>SUM(E4:E14)</f>
        <v/>
      </c>
      <c r="F15" s="3">
        <f>SUM(F4:F14)</f>
        <v/>
      </c>
      <c r="G15" s="3">
        <f>SUM(G4:G14)</f>
        <v/>
      </c>
      <c r="H15" s="3">
        <f>SUM(H4:H14)</f>
        <v/>
      </c>
      <c r="I15" s="3">
        <f>SUM(I4:I14)</f>
        <v/>
      </c>
      <c r="J15" s="3">
        <f>SUM(J4:J14)</f>
        <v/>
      </c>
      <c r="K15" s="3">
        <f>SUM(K4:K14)</f>
        <v/>
      </c>
      <c r="L15" s="3">
        <f>SUM(L4:L14)</f>
        <v/>
      </c>
      <c r="M15" s="3">
        <f>SUM(M4:M14)</f>
        <v/>
      </c>
      <c r="N15" s="3">
        <f>SUM(N4:N14)</f>
        <v/>
      </c>
      <c r="O15" s="3">
        <f>SUM(O4:O14)</f>
        <v/>
      </c>
      <c r="P15" s="3">
        <f>SUM(P4:P14)</f>
        <v/>
      </c>
      <c r="Q15" s="3">
        <f>SUM(Q4:Q14)</f>
        <v/>
      </c>
      <c r="R15" s="3">
        <f>SUM(R4:R14)</f>
        <v/>
      </c>
      <c r="S15" s="3">
        <f>SUM(S4:S14)</f>
        <v/>
      </c>
      <c r="T15" s="3">
        <f>SUM(T4:T14)</f>
        <v/>
      </c>
      <c r="U15" s="3">
        <f>SUM(U4:U14)</f>
        <v/>
      </c>
      <c r="V15" s="3">
        <f>SUM(V4:V14)</f>
        <v/>
      </c>
      <c r="W15" s="3">
        <f>SUM(W4:W14)</f>
        <v/>
      </c>
      <c r="X15" s="3">
        <f>SUM(X4:X14)</f>
        <v/>
      </c>
      <c r="Y15" s="3">
        <f>SUM(Y4:Y14)</f>
        <v/>
      </c>
      <c r="Z15" s="3">
        <f>SUM(B15:M15)</f>
        <v/>
      </c>
      <c r="AA15" s="3">
        <f>SUM(N15:Y15)</f>
        <v/>
      </c>
      <c r="AB15" s="3">
        <f>Z15+AA15</f>
        <v/>
      </c>
    </row>
    <row r="18">
      <c r="A18" s="5" t="inlineStr">
        <is>
          <t>Ricavi setup</t>
        </is>
      </c>
    </row>
    <row r="19">
      <c r="A19" t="inlineStr">
        <is>
          <t>Hotel Agent OS (agenti AI operativi)</t>
        </is>
      </c>
      <c r="B19" s="3">
        <f>Customers!B4*Assumptions!$H$16</f>
        <v/>
      </c>
      <c r="C19" s="3">
        <f>MAX(0,Customers!C4-Customers!B4)*Assumptions!$H$16</f>
        <v/>
      </c>
      <c r="D19" s="3">
        <f>MAX(0,Customers!D4-Customers!C4)*Assumptions!$H$16</f>
        <v/>
      </c>
      <c r="E19" s="3">
        <f>MAX(0,Customers!E4-Customers!D4)*Assumptions!$H$16</f>
        <v/>
      </c>
      <c r="F19" s="3">
        <f>MAX(0,Customers!F4-Customers!E4)*Assumptions!$H$16</f>
        <v/>
      </c>
      <c r="G19" s="3">
        <f>MAX(0,Customers!G4-Customers!F4)*Assumptions!$H$16</f>
        <v/>
      </c>
      <c r="H19" s="3">
        <f>MAX(0,Customers!H4-Customers!G4)*Assumptions!$H$16</f>
        <v/>
      </c>
      <c r="I19" s="3">
        <f>MAX(0,Customers!I4-Customers!H4)*Assumptions!$H$16</f>
        <v/>
      </c>
      <c r="J19" s="3">
        <f>MAX(0,Customers!J4-Customers!I4)*Assumptions!$H$16</f>
        <v/>
      </c>
      <c r="K19" s="3">
        <f>MAX(0,Customers!K4-Customers!J4)*Assumptions!$H$16</f>
        <v/>
      </c>
      <c r="L19" s="3">
        <f>MAX(0,Customers!L4-Customers!K4)*Assumptions!$H$16</f>
        <v/>
      </c>
      <c r="M19" s="3">
        <f>MAX(0,Customers!M4-Customers!L4)*Assumptions!$H$16</f>
        <v/>
      </c>
      <c r="N19" s="3">
        <f>MAX(0,Customers!N4-Customers!M4)*Assumptions!$H$16</f>
        <v/>
      </c>
      <c r="O19" s="3">
        <f>MAX(0,Customers!O4-Customers!N4)*Assumptions!$H$16</f>
        <v/>
      </c>
      <c r="P19" s="3">
        <f>MAX(0,Customers!P4-Customers!O4)*Assumptions!$H$16</f>
        <v/>
      </c>
      <c r="Q19" s="3">
        <f>MAX(0,Customers!Q4-Customers!P4)*Assumptions!$H$16</f>
        <v/>
      </c>
      <c r="R19" s="3">
        <f>MAX(0,Customers!R4-Customers!Q4)*Assumptions!$H$16</f>
        <v/>
      </c>
      <c r="S19" s="3">
        <f>MAX(0,Customers!S4-Customers!R4)*Assumptions!$H$16</f>
        <v/>
      </c>
      <c r="T19" s="3">
        <f>MAX(0,Customers!T4-Customers!S4)*Assumptions!$H$16</f>
        <v/>
      </c>
      <c r="U19" s="3">
        <f>MAX(0,Customers!U4-Customers!T4)*Assumptions!$H$16</f>
        <v/>
      </c>
      <c r="V19" s="3">
        <f>MAX(0,Customers!V4-Customers!U4)*Assumptions!$H$16</f>
        <v/>
      </c>
      <c r="W19" s="3">
        <f>MAX(0,Customers!W4-Customers!V4)*Assumptions!$H$16</f>
        <v/>
      </c>
      <c r="X19" s="3">
        <f>MAX(0,Customers!X4-Customers!W4)*Assumptions!$H$16</f>
        <v/>
      </c>
      <c r="Y19" s="3">
        <f>MAX(0,Customers!Y4-Customers!X4)*Assumptions!$H$16</f>
        <v/>
      </c>
      <c r="Z19" s="3">
        <f>SUM(B19:M19)</f>
        <v/>
      </c>
      <c r="AA19" s="3">
        <f>SUM(N19:Y19)</f>
        <v/>
      </c>
      <c r="AB19" s="3">
        <f>Z19+AA19</f>
        <v/>
      </c>
    </row>
    <row r="20">
      <c r="A20" t="inlineStr">
        <is>
          <t>GuestNode Lobby (terminale in reception)</t>
        </is>
      </c>
      <c r="B20" s="3">
        <f>Customers!B5*Assumptions!$H$17</f>
        <v/>
      </c>
      <c r="C20" s="3">
        <f>MAX(0,Customers!C5-Customers!B5)*Assumptions!$H$17</f>
        <v/>
      </c>
      <c r="D20" s="3">
        <f>MAX(0,Customers!D5-Customers!C5)*Assumptions!$H$17</f>
        <v/>
      </c>
      <c r="E20" s="3">
        <f>MAX(0,Customers!E5-Customers!D5)*Assumptions!$H$17</f>
        <v/>
      </c>
      <c r="F20" s="3">
        <f>MAX(0,Customers!F5-Customers!E5)*Assumptions!$H$17</f>
        <v/>
      </c>
      <c r="G20" s="3">
        <f>MAX(0,Customers!G5-Customers!F5)*Assumptions!$H$17</f>
        <v/>
      </c>
      <c r="H20" s="3">
        <f>MAX(0,Customers!H5-Customers!G5)*Assumptions!$H$17</f>
        <v/>
      </c>
      <c r="I20" s="3">
        <f>MAX(0,Customers!I5-Customers!H5)*Assumptions!$H$17</f>
        <v/>
      </c>
      <c r="J20" s="3">
        <f>MAX(0,Customers!J5-Customers!I5)*Assumptions!$H$17</f>
        <v/>
      </c>
      <c r="K20" s="3">
        <f>MAX(0,Customers!K5-Customers!J5)*Assumptions!$H$17</f>
        <v/>
      </c>
      <c r="L20" s="3">
        <f>MAX(0,Customers!L5-Customers!K5)*Assumptions!$H$17</f>
        <v/>
      </c>
      <c r="M20" s="3">
        <f>MAX(0,Customers!M5-Customers!L5)*Assumptions!$H$17</f>
        <v/>
      </c>
      <c r="N20" s="3">
        <f>MAX(0,Customers!N5-Customers!M5)*Assumptions!$H$17</f>
        <v/>
      </c>
      <c r="O20" s="3">
        <f>MAX(0,Customers!O5-Customers!N5)*Assumptions!$H$17</f>
        <v/>
      </c>
      <c r="P20" s="3">
        <f>MAX(0,Customers!P5-Customers!O5)*Assumptions!$H$17</f>
        <v/>
      </c>
      <c r="Q20" s="3">
        <f>MAX(0,Customers!Q5-Customers!P5)*Assumptions!$H$17</f>
        <v/>
      </c>
      <c r="R20" s="3">
        <f>MAX(0,Customers!R5-Customers!Q5)*Assumptions!$H$17</f>
        <v/>
      </c>
      <c r="S20" s="3">
        <f>MAX(0,Customers!S5-Customers!R5)*Assumptions!$H$17</f>
        <v/>
      </c>
      <c r="T20" s="3">
        <f>MAX(0,Customers!T5-Customers!S5)*Assumptions!$H$17</f>
        <v/>
      </c>
      <c r="U20" s="3">
        <f>MAX(0,Customers!U5-Customers!T5)*Assumptions!$H$17</f>
        <v/>
      </c>
      <c r="V20" s="3">
        <f>MAX(0,Customers!V5-Customers!U5)*Assumptions!$H$17</f>
        <v/>
      </c>
      <c r="W20" s="3">
        <f>MAX(0,Customers!W5-Customers!V5)*Assumptions!$H$17</f>
        <v/>
      </c>
      <c r="X20" s="3">
        <f>MAX(0,Customers!X5-Customers!W5)*Assumptions!$H$17</f>
        <v/>
      </c>
      <c r="Y20" s="3">
        <f>MAX(0,Customers!Y5-Customers!X5)*Assumptions!$H$17</f>
        <v/>
      </c>
      <c r="Z20" s="3">
        <f>SUM(B20:M20)</f>
        <v/>
      </c>
      <c r="AA20" s="3">
        <f>SUM(N20:Y20)</f>
        <v/>
      </c>
      <c r="AB20" s="3">
        <f>Z20+AA20</f>
        <v/>
      </c>
    </row>
    <row r="21">
      <c r="A21" t="inlineStr">
        <is>
          <t>GuestNode in camera</t>
        </is>
      </c>
      <c r="B21" s="3">
        <f>Customers!B6*Assumptions!$H$18</f>
        <v/>
      </c>
      <c r="C21" s="3">
        <f>MAX(0,Customers!C6-Customers!B6)*Assumptions!$H$18</f>
        <v/>
      </c>
      <c r="D21" s="3">
        <f>MAX(0,Customers!D6-Customers!C6)*Assumptions!$H$18</f>
        <v/>
      </c>
      <c r="E21" s="3">
        <f>MAX(0,Customers!E6-Customers!D6)*Assumptions!$H$18</f>
        <v/>
      </c>
      <c r="F21" s="3">
        <f>MAX(0,Customers!F6-Customers!E6)*Assumptions!$H$18</f>
        <v/>
      </c>
      <c r="G21" s="3">
        <f>MAX(0,Customers!G6-Customers!F6)*Assumptions!$H$18</f>
        <v/>
      </c>
      <c r="H21" s="3">
        <f>MAX(0,Customers!H6-Customers!G6)*Assumptions!$H$18</f>
        <v/>
      </c>
      <c r="I21" s="3">
        <f>MAX(0,Customers!I6-Customers!H6)*Assumptions!$H$18</f>
        <v/>
      </c>
      <c r="J21" s="3">
        <f>MAX(0,Customers!J6-Customers!I6)*Assumptions!$H$18</f>
        <v/>
      </c>
      <c r="K21" s="3">
        <f>MAX(0,Customers!K6-Customers!J6)*Assumptions!$H$18</f>
        <v/>
      </c>
      <c r="L21" s="3">
        <f>MAX(0,Customers!L6-Customers!K6)*Assumptions!$H$18</f>
        <v/>
      </c>
      <c r="M21" s="3">
        <f>MAX(0,Customers!M6-Customers!L6)*Assumptions!$H$18</f>
        <v/>
      </c>
      <c r="N21" s="3">
        <f>MAX(0,Customers!N6-Customers!M6)*Assumptions!$H$18</f>
        <v/>
      </c>
      <c r="O21" s="3">
        <f>MAX(0,Customers!O6-Customers!N6)*Assumptions!$H$18</f>
        <v/>
      </c>
      <c r="P21" s="3">
        <f>MAX(0,Customers!P6-Customers!O6)*Assumptions!$H$18</f>
        <v/>
      </c>
      <c r="Q21" s="3">
        <f>MAX(0,Customers!Q6-Customers!P6)*Assumptions!$H$18</f>
        <v/>
      </c>
      <c r="R21" s="3">
        <f>MAX(0,Customers!R6-Customers!Q6)*Assumptions!$H$18</f>
        <v/>
      </c>
      <c r="S21" s="3">
        <f>MAX(0,Customers!S6-Customers!R6)*Assumptions!$H$18</f>
        <v/>
      </c>
      <c r="T21" s="3">
        <f>MAX(0,Customers!T6-Customers!S6)*Assumptions!$H$18</f>
        <v/>
      </c>
      <c r="U21" s="3">
        <f>MAX(0,Customers!U6-Customers!T6)*Assumptions!$H$18</f>
        <v/>
      </c>
      <c r="V21" s="3">
        <f>MAX(0,Customers!V6-Customers!U6)*Assumptions!$H$18</f>
        <v/>
      </c>
      <c r="W21" s="3">
        <f>MAX(0,Customers!W6-Customers!V6)*Assumptions!$H$18</f>
        <v/>
      </c>
      <c r="X21" s="3">
        <f>MAX(0,Customers!X6-Customers!W6)*Assumptions!$H$18</f>
        <v/>
      </c>
      <c r="Y21" s="3">
        <f>MAX(0,Customers!Y6-Customers!X6)*Assumptions!$H$18</f>
        <v/>
      </c>
      <c r="Z21" s="3">
        <f>SUM(B21:M21)</f>
        <v/>
      </c>
      <c r="AA21" s="3">
        <f>SUM(N21:Y21)</f>
        <v/>
      </c>
      <c r="AB21" s="3">
        <f>Z21+AA21</f>
        <v/>
      </c>
    </row>
    <row r="22">
      <c r="A22" t="inlineStr">
        <is>
          <t>Smart Travel Wall (vending/micro-market)</t>
        </is>
      </c>
      <c r="B22" s="3">
        <f>Customers!B7*Assumptions!$H$19</f>
        <v/>
      </c>
      <c r="C22" s="3">
        <f>MAX(0,Customers!C7-Customers!B7)*Assumptions!$H$19</f>
        <v/>
      </c>
      <c r="D22" s="3">
        <f>MAX(0,Customers!D7-Customers!C7)*Assumptions!$H$19</f>
        <v/>
      </c>
      <c r="E22" s="3">
        <f>MAX(0,Customers!E7-Customers!D7)*Assumptions!$H$19</f>
        <v/>
      </c>
      <c r="F22" s="3">
        <f>MAX(0,Customers!F7-Customers!E7)*Assumptions!$H$19</f>
        <v/>
      </c>
      <c r="G22" s="3">
        <f>MAX(0,Customers!G7-Customers!F7)*Assumptions!$H$19</f>
        <v/>
      </c>
      <c r="H22" s="3">
        <f>MAX(0,Customers!H7-Customers!G7)*Assumptions!$H$19</f>
        <v/>
      </c>
      <c r="I22" s="3">
        <f>MAX(0,Customers!I7-Customers!H7)*Assumptions!$H$19</f>
        <v/>
      </c>
      <c r="J22" s="3">
        <f>MAX(0,Customers!J7-Customers!I7)*Assumptions!$H$19</f>
        <v/>
      </c>
      <c r="K22" s="3">
        <f>MAX(0,Customers!K7-Customers!J7)*Assumptions!$H$19</f>
        <v/>
      </c>
      <c r="L22" s="3">
        <f>MAX(0,Customers!L7-Customers!K7)*Assumptions!$H$19</f>
        <v/>
      </c>
      <c r="M22" s="3">
        <f>MAX(0,Customers!M7-Customers!L7)*Assumptions!$H$19</f>
        <v/>
      </c>
      <c r="N22" s="3">
        <f>MAX(0,Customers!N7-Customers!M7)*Assumptions!$H$19</f>
        <v/>
      </c>
      <c r="O22" s="3">
        <f>MAX(0,Customers!O7-Customers!N7)*Assumptions!$H$19</f>
        <v/>
      </c>
      <c r="P22" s="3">
        <f>MAX(0,Customers!P7-Customers!O7)*Assumptions!$H$19</f>
        <v/>
      </c>
      <c r="Q22" s="3">
        <f>MAX(0,Customers!Q7-Customers!P7)*Assumptions!$H$19</f>
        <v/>
      </c>
      <c r="R22" s="3">
        <f>MAX(0,Customers!R7-Customers!Q7)*Assumptions!$H$19</f>
        <v/>
      </c>
      <c r="S22" s="3">
        <f>MAX(0,Customers!S7-Customers!R7)*Assumptions!$H$19</f>
        <v/>
      </c>
      <c r="T22" s="3">
        <f>MAX(0,Customers!T7-Customers!S7)*Assumptions!$H$19</f>
        <v/>
      </c>
      <c r="U22" s="3">
        <f>MAX(0,Customers!U7-Customers!T7)*Assumptions!$H$19</f>
        <v/>
      </c>
      <c r="V22" s="3">
        <f>MAX(0,Customers!V7-Customers!U7)*Assumptions!$H$19</f>
        <v/>
      </c>
      <c r="W22" s="3">
        <f>MAX(0,Customers!W7-Customers!V7)*Assumptions!$H$19</f>
        <v/>
      </c>
      <c r="X22" s="3">
        <f>MAX(0,Customers!X7-Customers!W7)*Assumptions!$H$19</f>
        <v/>
      </c>
      <c r="Y22" s="3">
        <f>MAX(0,Customers!Y7-Customers!X7)*Assumptions!$H$19</f>
        <v/>
      </c>
      <c r="Z22" s="3">
        <f>SUM(B22:M22)</f>
        <v/>
      </c>
      <c r="AA22" s="3">
        <f>SUM(N22:Y22)</f>
        <v/>
      </c>
      <c r="AB22" s="3">
        <f>Z22+AA22</f>
        <v/>
      </c>
    </row>
    <row r="23">
      <c r="A23" t="inlineStr">
        <is>
          <t>Armadietti a noleggio</t>
        </is>
      </c>
      <c r="B23" s="3">
        <f>Customers!B8*Assumptions!$H$20</f>
        <v/>
      </c>
      <c r="C23" s="3">
        <f>MAX(0,Customers!C8-Customers!B8)*Assumptions!$H$20</f>
        <v/>
      </c>
      <c r="D23" s="3">
        <f>MAX(0,Customers!D8-Customers!C8)*Assumptions!$H$20</f>
        <v/>
      </c>
      <c r="E23" s="3">
        <f>MAX(0,Customers!E8-Customers!D8)*Assumptions!$H$20</f>
        <v/>
      </c>
      <c r="F23" s="3">
        <f>MAX(0,Customers!F8-Customers!E8)*Assumptions!$H$20</f>
        <v/>
      </c>
      <c r="G23" s="3">
        <f>MAX(0,Customers!G8-Customers!F8)*Assumptions!$H$20</f>
        <v/>
      </c>
      <c r="H23" s="3">
        <f>MAX(0,Customers!H8-Customers!G8)*Assumptions!$H$20</f>
        <v/>
      </c>
      <c r="I23" s="3">
        <f>MAX(0,Customers!I8-Customers!H8)*Assumptions!$H$20</f>
        <v/>
      </c>
      <c r="J23" s="3">
        <f>MAX(0,Customers!J8-Customers!I8)*Assumptions!$H$20</f>
        <v/>
      </c>
      <c r="K23" s="3">
        <f>MAX(0,Customers!K8-Customers!J8)*Assumptions!$H$20</f>
        <v/>
      </c>
      <c r="L23" s="3">
        <f>MAX(0,Customers!L8-Customers!K8)*Assumptions!$H$20</f>
        <v/>
      </c>
      <c r="M23" s="3">
        <f>MAX(0,Customers!M8-Customers!L8)*Assumptions!$H$20</f>
        <v/>
      </c>
      <c r="N23" s="3">
        <f>MAX(0,Customers!N8-Customers!M8)*Assumptions!$H$20</f>
        <v/>
      </c>
      <c r="O23" s="3">
        <f>MAX(0,Customers!O8-Customers!N8)*Assumptions!$H$20</f>
        <v/>
      </c>
      <c r="P23" s="3">
        <f>MAX(0,Customers!P8-Customers!O8)*Assumptions!$H$20</f>
        <v/>
      </c>
      <c r="Q23" s="3">
        <f>MAX(0,Customers!Q8-Customers!P8)*Assumptions!$H$20</f>
        <v/>
      </c>
      <c r="R23" s="3">
        <f>MAX(0,Customers!R8-Customers!Q8)*Assumptions!$H$20</f>
        <v/>
      </c>
      <c r="S23" s="3">
        <f>MAX(0,Customers!S8-Customers!R8)*Assumptions!$H$20</f>
        <v/>
      </c>
      <c r="T23" s="3">
        <f>MAX(0,Customers!T8-Customers!S8)*Assumptions!$H$20</f>
        <v/>
      </c>
      <c r="U23" s="3">
        <f>MAX(0,Customers!U8-Customers!T8)*Assumptions!$H$20</f>
        <v/>
      </c>
      <c r="V23" s="3">
        <f>MAX(0,Customers!V8-Customers!U8)*Assumptions!$H$20</f>
        <v/>
      </c>
      <c r="W23" s="3">
        <f>MAX(0,Customers!W8-Customers!V8)*Assumptions!$H$20</f>
        <v/>
      </c>
      <c r="X23" s="3">
        <f>MAX(0,Customers!X8-Customers!W8)*Assumptions!$H$20</f>
        <v/>
      </c>
      <c r="Y23" s="3">
        <f>MAX(0,Customers!Y8-Customers!X8)*Assumptions!$H$20</f>
        <v/>
      </c>
      <c r="Z23" s="3">
        <f>SUM(B23:M23)</f>
        <v/>
      </c>
      <c r="AA23" s="3">
        <f>SUM(N23:Y23)</f>
        <v/>
      </c>
      <c r="AB23" s="3">
        <f>Z23+AA23</f>
        <v/>
      </c>
    </row>
    <row r="24">
      <c r="A24" t="inlineStr">
        <is>
          <t>Armadietti bagagli</t>
        </is>
      </c>
      <c r="B24" s="3">
        <f>Customers!B9*Assumptions!$H$21</f>
        <v/>
      </c>
      <c r="C24" s="3">
        <f>MAX(0,Customers!C9-Customers!B9)*Assumptions!$H$21</f>
        <v/>
      </c>
      <c r="D24" s="3">
        <f>MAX(0,Customers!D9-Customers!C9)*Assumptions!$H$21</f>
        <v/>
      </c>
      <c r="E24" s="3">
        <f>MAX(0,Customers!E9-Customers!D9)*Assumptions!$H$21</f>
        <v/>
      </c>
      <c r="F24" s="3">
        <f>MAX(0,Customers!F9-Customers!E9)*Assumptions!$H$21</f>
        <v/>
      </c>
      <c r="G24" s="3">
        <f>MAX(0,Customers!G9-Customers!F9)*Assumptions!$H$21</f>
        <v/>
      </c>
      <c r="H24" s="3">
        <f>MAX(0,Customers!H9-Customers!G9)*Assumptions!$H$21</f>
        <v/>
      </c>
      <c r="I24" s="3">
        <f>MAX(0,Customers!I9-Customers!H9)*Assumptions!$H$21</f>
        <v/>
      </c>
      <c r="J24" s="3">
        <f>MAX(0,Customers!J9-Customers!I9)*Assumptions!$H$21</f>
        <v/>
      </c>
      <c r="K24" s="3">
        <f>MAX(0,Customers!K9-Customers!J9)*Assumptions!$H$21</f>
        <v/>
      </c>
      <c r="L24" s="3">
        <f>MAX(0,Customers!L9-Customers!K9)*Assumptions!$H$21</f>
        <v/>
      </c>
      <c r="M24" s="3">
        <f>MAX(0,Customers!M9-Customers!L9)*Assumptions!$H$21</f>
        <v/>
      </c>
      <c r="N24" s="3">
        <f>MAX(0,Customers!N9-Customers!M9)*Assumptions!$H$21</f>
        <v/>
      </c>
      <c r="O24" s="3">
        <f>MAX(0,Customers!O9-Customers!N9)*Assumptions!$H$21</f>
        <v/>
      </c>
      <c r="P24" s="3">
        <f>MAX(0,Customers!P9-Customers!O9)*Assumptions!$H$21</f>
        <v/>
      </c>
      <c r="Q24" s="3">
        <f>MAX(0,Customers!Q9-Customers!P9)*Assumptions!$H$21</f>
        <v/>
      </c>
      <c r="R24" s="3">
        <f>MAX(0,Customers!R9-Customers!Q9)*Assumptions!$H$21</f>
        <v/>
      </c>
      <c r="S24" s="3">
        <f>MAX(0,Customers!S9-Customers!R9)*Assumptions!$H$21</f>
        <v/>
      </c>
      <c r="T24" s="3">
        <f>MAX(0,Customers!T9-Customers!S9)*Assumptions!$H$21</f>
        <v/>
      </c>
      <c r="U24" s="3">
        <f>MAX(0,Customers!U9-Customers!T9)*Assumptions!$H$21</f>
        <v/>
      </c>
      <c r="V24" s="3">
        <f>MAX(0,Customers!V9-Customers!U9)*Assumptions!$H$21</f>
        <v/>
      </c>
      <c r="W24" s="3">
        <f>MAX(0,Customers!W9-Customers!V9)*Assumptions!$H$21</f>
        <v/>
      </c>
      <c r="X24" s="3">
        <f>MAX(0,Customers!X9-Customers!W9)*Assumptions!$H$21</f>
        <v/>
      </c>
      <c r="Y24" s="3">
        <f>MAX(0,Customers!Y9-Customers!X9)*Assumptions!$H$21</f>
        <v/>
      </c>
      <c r="Z24" s="3">
        <f>SUM(B24:M24)</f>
        <v/>
      </c>
      <c r="AA24" s="3">
        <f>SUM(N24:Y24)</f>
        <v/>
      </c>
      <c r="AB24" s="3">
        <f>Z24+AA24</f>
        <v/>
      </c>
    </row>
    <row r="25">
      <c r="A25" t="inlineStr">
        <is>
          <t>Noleggio power bank</t>
        </is>
      </c>
      <c r="B25" s="3">
        <f>Customers!B10*Assumptions!$H$22</f>
        <v/>
      </c>
      <c r="C25" s="3">
        <f>MAX(0,Customers!C10-Customers!B10)*Assumptions!$H$22</f>
        <v/>
      </c>
      <c r="D25" s="3">
        <f>MAX(0,Customers!D10-Customers!C10)*Assumptions!$H$22</f>
        <v/>
      </c>
      <c r="E25" s="3">
        <f>MAX(0,Customers!E10-Customers!D10)*Assumptions!$H$22</f>
        <v/>
      </c>
      <c r="F25" s="3">
        <f>MAX(0,Customers!F10-Customers!E10)*Assumptions!$H$22</f>
        <v/>
      </c>
      <c r="G25" s="3">
        <f>MAX(0,Customers!G10-Customers!F10)*Assumptions!$H$22</f>
        <v/>
      </c>
      <c r="H25" s="3">
        <f>MAX(0,Customers!H10-Customers!G10)*Assumptions!$H$22</f>
        <v/>
      </c>
      <c r="I25" s="3">
        <f>MAX(0,Customers!I10-Customers!H10)*Assumptions!$H$22</f>
        <v/>
      </c>
      <c r="J25" s="3">
        <f>MAX(0,Customers!J10-Customers!I10)*Assumptions!$H$22</f>
        <v/>
      </c>
      <c r="K25" s="3">
        <f>MAX(0,Customers!K10-Customers!J10)*Assumptions!$H$22</f>
        <v/>
      </c>
      <c r="L25" s="3">
        <f>MAX(0,Customers!L10-Customers!K10)*Assumptions!$H$22</f>
        <v/>
      </c>
      <c r="M25" s="3">
        <f>MAX(0,Customers!M10-Customers!L10)*Assumptions!$H$22</f>
        <v/>
      </c>
      <c r="N25" s="3">
        <f>MAX(0,Customers!N10-Customers!M10)*Assumptions!$H$22</f>
        <v/>
      </c>
      <c r="O25" s="3">
        <f>MAX(0,Customers!O10-Customers!N10)*Assumptions!$H$22</f>
        <v/>
      </c>
      <c r="P25" s="3">
        <f>MAX(0,Customers!P10-Customers!O10)*Assumptions!$H$22</f>
        <v/>
      </c>
      <c r="Q25" s="3">
        <f>MAX(0,Customers!Q10-Customers!P10)*Assumptions!$H$22</f>
        <v/>
      </c>
      <c r="R25" s="3">
        <f>MAX(0,Customers!R10-Customers!Q10)*Assumptions!$H$22</f>
        <v/>
      </c>
      <c r="S25" s="3">
        <f>MAX(0,Customers!S10-Customers!R10)*Assumptions!$H$22</f>
        <v/>
      </c>
      <c r="T25" s="3">
        <f>MAX(0,Customers!T10-Customers!S10)*Assumptions!$H$22</f>
        <v/>
      </c>
      <c r="U25" s="3">
        <f>MAX(0,Customers!U10-Customers!T10)*Assumptions!$H$22</f>
        <v/>
      </c>
      <c r="V25" s="3">
        <f>MAX(0,Customers!V10-Customers!U10)*Assumptions!$H$22</f>
        <v/>
      </c>
      <c r="W25" s="3">
        <f>MAX(0,Customers!W10-Customers!V10)*Assumptions!$H$22</f>
        <v/>
      </c>
      <c r="X25" s="3">
        <f>MAX(0,Customers!X10-Customers!W10)*Assumptions!$H$22</f>
        <v/>
      </c>
      <c r="Y25" s="3">
        <f>MAX(0,Customers!Y10-Customers!X10)*Assumptions!$H$22</f>
        <v/>
      </c>
      <c r="Z25" s="3">
        <f>SUM(B25:M25)</f>
        <v/>
      </c>
      <c r="AA25" s="3">
        <f>SUM(N25:Y25)</f>
        <v/>
      </c>
      <c r="AB25" s="3">
        <f>Z25+AA25</f>
        <v/>
      </c>
    </row>
    <row r="26">
      <c r="A26" t="inlineStr">
        <is>
          <t>Kit IoT Energia</t>
        </is>
      </c>
      <c r="B26" s="3">
        <f>Customers!B11*Assumptions!$H$23</f>
        <v/>
      </c>
      <c r="C26" s="3">
        <f>MAX(0,Customers!C11-Customers!B11)*Assumptions!$H$23</f>
        <v/>
      </c>
      <c r="D26" s="3">
        <f>MAX(0,Customers!D11-Customers!C11)*Assumptions!$H$23</f>
        <v/>
      </c>
      <c r="E26" s="3">
        <f>MAX(0,Customers!E11-Customers!D11)*Assumptions!$H$23</f>
        <v/>
      </c>
      <c r="F26" s="3">
        <f>MAX(0,Customers!F11-Customers!E11)*Assumptions!$H$23</f>
        <v/>
      </c>
      <c r="G26" s="3">
        <f>MAX(0,Customers!G11-Customers!F11)*Assumptions!$H$23</f>
        <v/>
      </c>
      <c r="H26" s="3">
        <f>MAX(0,Customers!H11-Customers!G11)*Assumptions!$H$23</f>
        <v/>
      </c>
      <c r="I26" s="3">
        <f>MAX(0,Customers!I11-Customers!H11)*Assumptions!$H$23</f>
        <v/>
      </c>
      <c r="J26" s="3">
        <f>MAX(0,Customers!J11-Customers!I11)*Assumptions!$H$23</f>
        <v/>
      </c>
      <c r="K26" s="3">
        <f>MAX(0,Customers!K11-Customers!J11)*Assumptions!$H$23</f>
        <v/>
      </c>
      <c r="L26" s="3">
        <f>MAX(0,Customers!L11-Customers!K11)*Assumptions!$H$23</f>
        <v/>
      </c>
      <c r="M26" s="3">
        <f>MAX(0,Customers!M11-Customers!L11)*Assumptions!$H$23</f>
        <v/>
      </c>
      <c r="N26" s="3">
        <f>MAX(0,Customers!N11-Customers!M11)*Assumptions!$H$23</f>
        <v/>
      </c>
      <c r="O26" s="3">
        <f>MAX(0,Customers!O11-Customers!N11)*Assumptions!$H$23</f>
        <v/>
      </c>
      <c r="P26" s="3">
        <f>MAX(0,Customers!P11-Customers!O11)*Assumptions!$H$23</f>
        <v/>
      </c>
      <c r="Q26" s="3">
        <f>MAX(0,Customers!Q11-Customers!P11)*Assumptions!$H$23</f>
        <v/>
      </c>
      <c r="R26" s="3">
        <f>MAX(0,Customers!R11-Customers!Q11)*Assumptions!$H$23</f>
        <v/>
      </c>
      <c r="S26" s="3">
        <f>MAX(0,Customers!S11-Customers!R11)*Assumptions!$H$23</f>
        <v/>
      </c>
      <c r="T26" s="3">
        <f>MAX(0,Customers!T11-Customers!S11)*Assumptions!$H$23</f>
        <v/>
      </c>
      <c r="U26" s="3">
        <f>MAX(0,Customers!U11-Customers!T11)*Assumptions!$H$23</f>
        <v/>
      </c>
      <c r="V26" s="3">
        <f>MAX(0,Customers!V11-Customers!U11)*Assumptions!$H$23</f>
        <v/>
      </c>
      <c r="W26" s="3">
        <f>MAX(0,Customers!W11-Customers!V11)*Assumptions!$H$23</f>
        <v/>
      </c>
      <c r="X26" s="3">
        <f>MAX(0,Customers!X11-Customers!W11)*Assumptions!$H$23</f>
        <v/>
      </c>
      <c r="Y26" s="3">
        <f>MAX(0,Customers!Y11-Customers!X11)*Assumptions!$H$23</f>
        <v/>
      </c>
      <c r="Z26" s="3">
        <f>SUM(B26:M26)</f>
        <v/>
      </c>
      <c r="AA26" s="3">
        <f>SUM(N26:Y26)</f>
        <v/>
      </c>
      <c r="AB26" s="3">
        <f>Z26+AA26</f>
        <v/>
      </c>
    </row>
    <row r="27">
      <c r="A27" t="inlineStr">
        <is>
          <t>Healthy Room IoT (qualità aria)</t>
        </is>
      </c>
      <c r="B27" s="3">
        <f>Customers!B12*Assumptions!$H$24</f>
        <v/>
      </c>
      <c r="C27" s="3">
        <f>MAX(0,Customers!C12-Customers!B12)*Assumptions!$H$24</f>
        <v/>
      </c>
      <c r="D27" s="3">
        <f>MAX(0,Customers!D12-Customers!C12)*Assumptions!$H$24</f>
        <v/>
      </c>
      <c r="E27" s="3">
        <f>MAX(0,Customers!E12-Customers!D12)*Assumptions!$H$24</f>
        <v/>
      </c>
      <c r="F27" s="3">
        <f>MAX(0,Customers!F12-Customers!E12)*Assumptions!$H$24</f>
        <v/>
      </c>
      <c r="G27" s="3">
        <f>MAX(0,Customers!G12-Customers!F12)*Assumptions!$H$24</f>
        <v/>
      </c>
      <c r="H27" s="3">
        <f>MAX(0,Customers!H12-Customers!G12)*Assumptions!$H$24</f>
        <v/>
      </c>
      <c r="I27" s="3">
        <f>MAX(0,Customers!I12-Customers!H12)*Assumptions!$H$24</f>
        <v/>
      </c>
      <c r="J27" s="3">
        <f>MAX(0,Customers!J12-Customers!I12)*Assumptions!$H$24</f>
        <v/>
      </c>
      <c r="K27" s="3">
        <f>MAX(0,Customers!K12-Customers!J12)*Assumptions!$H$24</f>
        <v/>
      </c>
      <c r="L27" s="3">
        <f>MAX(0,Customers!L12-Customers!K12)*Assumptions!$H$24</f>
        <v/>
      </c>
      <c r="M27" s="3">
        <f>MAX(0,Customers!M12-Customers!L12)*Assumptions!$H$24</f>
        <v/>
      </c>
      <c r="N27" s="3">
        <f>MAX(0,Customers!N12-Customers!M12)*Assumptions!$H$24</f>
        <v/>
      </c>
      <c r="O27" s="3">
        <f>MAX(0,Customers!O12-Customers!N12)*Assumptions!$H$24</f>
        <v/>
      </c>
      <c r="P27" s="3">
        <f>MAX(0,Customers!P12-Customers!O12)*Assumptions!$H$24</f>
        <v/>
      </c>
      <c r="Q27" s="3">
        <f>MAX(0,Customers!Q12-Customers!P12)*Assumptions!$H$24</f>
        <v/>
      </c>
      <c r="R27" s="3">
        <f>MAX(0,Customers!R12-Customers!Q12)*Assumptions!$H$24</f>
        <v/>
      </c>
      <c r="S27" s="3">
        <f>MAX(0,Customers!S12-Customers!R12)*Assumptions!$H$24</f>
        <v/>
      </c>
      <c r="T27" s="3">
        <f>MAX(0,Customers!T12-Customers!S12)*Assumptions!$H$24</f>
        <v/>
      </c>
      <c r="U27" s="3">
        <f>MAX(0,Customers!U12-Customers!T12)*Assumptions!$H$24</f>
        <v/>
      </c>
      <c r="V27" s="3">
        <f>MAX(0,Customers!V12-Customers!U12)*Assumptions!$H$24</f>
        <v/>
      </c>
      <c r="W27" s="3">
        <f>MAX(0,Customers!W12-Customers!V12)*Assumptions!$H$24</f>
        <v/>
      </c>
      <c r="X27" s="3">
        <f>MAX(0,Customers!X12-Customers!W12)*Assumptions!$H$24</f>
        <v/>
      </c>
      <c r="Y27" s="3">
        <f>MAX(0,Customers!Y12-Customers!X12)*Assumptions!$H$24</f>
        <v/>
      </c>
      <c r="Z27" s="3">
        <f>SUM(B27:M27)</f>
        <v/>
      </c>
      <c r="AA27" s="3">
        <f>SUM(N27:Y27)</f>
        <v/>
      </c>
      <c r="AB27" s="3">
        <f>Z27+AA27</f>
        <v/>
      </c>
    </row>
    <row r="28">
      <c r="A28" t="inlineStr">
        <is>
          <t>Marketplace locale (tour, transfer, eSIM)</t>
        </is>
      </c>
      <c r="B28" s="3">
        <f>Customers!B13*Assumptions!$H$25</f>
        <v/>
      </c>
      <c r="C28" s="3">
        <f>MAX(0,Customers!C13-Customers!B13)*Assumptions!$H$25</f>
        <v/>
      </c>
      <c r="D28" s="3">
        <f>MAX(0,Customers!D13-Customers!C13)*Assumptions!$H$25</f>
        <v/>
      </c>
      <c r="E28" s="3">
        <f>MAX(0,Customers!E13-Customers!D13)*Assumptions!$H$25</f>
        <v/>
      </c>
      <c r="F28" s="3">
        <f>MAX(0,Customers!F13-Customers!E13)*Assumptions!$H$25</f>
        <v/>
      </c>
      <c r="G28" s="3">
        <f>MAX(0,Customers!G13-Customers!F13)*Assumptions!$H$25</f>
        <v/>
      </c>
      <c r="H28" s="3">
        <f>MAX(0,Customers!H13-Customers!G13)*Assumptions!$H$25</f>
        <v/>
      </c>
      <c r="I28" s="3">
        <f>MAX(0,Customers!I13-Customers!H13)*Assumptions!$H$25</f>
        <v/>
      </c>
      <c r="J28" s="3">
        <f>MAX(0,Customers!J13-Customers!I13)*Assumptions!$H$25</f>
        <v/>
      </c>
      <c r="K28" s="3">
        <f>MAX(0,Customers!K13-Customers!J13)*Assumptions!$H$25</f>
        <v/>
      </c>
      <c r="L28" s="3">
        <f>MAX(0,Customers!L13-Customers!K13)*Assumptions!$H$25</f>
        <v/>
      </c>
      <c r="M28" s="3">
        <f>MAX(0,Customers!M13-Customers!L13)*Assumptions!$H$25</f>
        <v/>
      </c>
      <c r="N28" s="3">
        <f>MAX(0,Customers!N13-Customers!M13)*Assumptions!$H$25</f>
        <v/>
      </c>
      <c r="O28" s="3">
        <f>MAX(0,Customers!O13-Customers!N13)*Assumptions!$H$25</f>
        <v/>
      </c>
      <c r="P28" s="3">
        <f>MAX(0,Customers!P13-Customers!O13)*Assumptions!$H$25</f>
        <v/>
      </c>
      <c r="Q28" s="3">
        <f>MAX(0,Customers!Q13-Customers!P13)*Assumptions!$H$25</f>
        <v/>
      </c>
      <c r="R28" s="3">
        <f>MAX(0,Customers!R13-Customers!Q13)*Assumptions!$H$25</f>
        <v/>
      </c>
      <c r="S28" s="3">
        <f>MAX(0,Customers!S13-Customers!R13)*Assumptions!$H$25</f>
        <v/>
      </c>
      <c r="T28" s="3">
        <f>MAX(0,Customers!T13-Customers!S13)*Assumptions!$H$25</f>
        <v/>
      </c>
      <c r="U28" s="3">
        <f>MAX(0,Customers!U13-Customers!T13)*Assumptions!$H$25</f>
        <v/>
      </c>
      <c r="V28" s="3">
        <f>MAX(0,Customers!V13-Customers!U13)*Assumptions!$H$25</f>
        <v/>
      </c>
      <c r="W28" s="3">
        <f>MAX(0,Customers!W13-Customers!V13)*Assumptions!$H$25</f>
        <v/>
      </c>
      <c r="X28" s="3">
        <f>MAX(0,Customers!X13-Customers!W13)*Assumptions!$H$25</f>
        <v/>
      </c>
      <c r="Y28" s="3">
        <f>MAX(0,Customers!Y13-Customers!X13)*Assumptions!$H$25</f>
        <v/>
      </c>
      <c r="Z28" s="3">
        <f>SUM(B28:M28)</f>
        <v/>
      </c>
      <c r="AA28" s="3">
        <f>SUM(N28:Y28)</f>
        <v/>
      </c>
      <c r="AB28" s="3">
        <f>Z28+AA28</f>
        <v/>
      </c>
    </row>
    <row r="29">
      <c r="A29" t="inlineStr">
        <is>
          <t>Vending regolamentato tramite partner autorizzato (opzione, OFF nel base)</t>
        </is>
      </c>
      <c r="B29" s="3">
        <f>Customers!B14*Assumptions!$H$26</f>
        <v/>
      </c>
      <c r="C29" s="3">
        <f>MAX(0,Customers!C14-Customers!B14)*Assumptions!$H$26</f>
        <v/>
      </c>
      <c r="D29" s="3">
        <f>MAX(0,Customers!D14-Customers!C14)*Assumptions!$H$26</f>
        <v/>
      </c>
      <c r="E29" s="3">
        <f>MAX(0,Customers!E14-Customers!D14)*Assumptions!$H$26</f>
        <v/>
      </c>
      <c r="F29" s="3">
        <f>MAX(0,Customers!F14-Customers!E14)*Assumptions!$H$26</f>
        <v/>
      </c>
      <c r="G29" s="3">
        <f>MAX(0,Customers!G14-Customers!F14)*Assumptions!$H$26</f>
        <v/>
      </c>
      <c r="H29" s="3">
        <f>MAX(0,Customers!H14-Customers!G14)*Assumptions!$H$26</f>
        <v/>
      </c>
      <c r="I29" s="3">
        <f>MAX(0,Customers!I14-Customers!H14)*Assumptions!$H$26</f>
        <v/>
      </c>
      <c r="J29" s="3">
        <f>MAX(0,Customers!J14-Customers!I14)*Assumptions!$H$26</f>
        <v/>
      </c>
      <c r="K29" s="3">
        <f>MAX(0,Customers!K14-Customers!J14)*Assumptions!$H$26</f>
        <v/>
      </c>
      <c r="L29" s="3">
        <f>MAX(0,Customers!L14-Customers!K14)*Assumptions!$H$26</f>
        <v/>
      </c>
      <c r="M29" s="3">
        <f>MAX(0,Customers!M14-Customers!L14)*Assumptions!$H$26</f>
        <v/>
      </c>
      <c r="N29" s="3">
        <f>MAX(0,Customers!N14-Customers!M14)*Assumptions!$H$26</f>
        <v/>
      </c>
      <c r="O29" s="3">
        <f>MAX(0,Customers!O14-Customers!N14)*Assumptions!$H$26</f>
        <v/>
      </c>
      <c r="P29" s="3">
        <f>MAX(0,Customers!P14-Customers!O14)*Assumptions!$H$26</f>
        <v/>
      </c>
      <c r="Q29" s="3">
        <f>MAX(0,Customers!Q14-Customers!P14)*Assumptions!$H$26</f>
        <v/>
      </c>
      <c r="R29" s="3">
        <f>MAX(0,Customers!R14-Customers!Q14)*Assumptions!$H$26</f>
        <v/>
      </c>
      <c r="S29" s="3">
        <f>MAX(0,Customers!S14-Customers!R14)*Assumptions!$H$26</f>
        <v/>
      </c>
      <c r="T29" s="3">
        <f>MAX(0,Customers!T14-Customers!S14)*Assumptions!$H$26</f>
        <v/>
      </c>
      <c r="U29" s="3">
        <f>MAX(0,Customers!U14-Customers!T14)*Assumptions!$H$26</f>
        <v/>
      </c>
      <c r="V29" s="3">
        <f>MAX(0,Customers!V14-Customers!U14)*Assumptions!$H$26</f>
        <v/>
      </c>
      <c r="W29" s="3">
        <f>MAX(0,Customers!W14-Customers!V14)*Assumptions!$H$26</f>
        <v/>
      </c>
      <c r="X29" s="3">
        <f>MAX(0,Customers!X14-Customers!W14)*Assumptions!$H$26</f>
        <v/>
      </c>
      <c r="Y29" s="3">
        <f>MAX(0,Customers!Y14-Customers!X14)*Assumptions!$H$26</f>
        <v/>
      </c>
      <c r="Z29" s="3">
        <f>SUM(B29:M29)</f>
        <v/>
      </c>
      <c r="AA29" s="3">
        <f>SUM(N29:Y29)</f>
        <v/>
      </c>
      <c r="AB29" s="3">
        <f>Z29+AA29</f>
        <v/>
      </c>
    </row>
    <row r="30">
      <c r="A30" t="inlineStr">
        <is>
          <t>Ricavi setup</t>
        </is>
      </c>
      <c r="B30" s="3">
        <f>SUM(B19:B29)</f>
        <v/>
      </c>
      <c r="C30" s="3">
        <f>SUM(C19:C29)</f>
        <v/>
      </c>
      <c r="D30" s="3">
        <f>SUM(D19:D29)</f>
        <v/>
      </c>
      <c r="E30" s="3">
        <f>SUM(E19:E29)</f>
        <v/>
      </c>
      <c r="F30" s="3">
        <f>SUM(F19:F29)</f>
        <v/>
      </c>
      <c r="G30" s="3">
        <f>SUM(G19:G29)</f>
        <v/>
      </c>
      <c r="H30" s="3">
        <f>SUM(H19:H29)</f>
        <v/>
      </c>
      <c r="I30" s="3">
        <f>SUM(I19:I29)</f>
        <v/>
      </c>
      <c r="J30" s="3">
        <f>SUM(J19:J29)</f>
        <v/>
      </c>
      <c r="K30" s="3">
        <f>SUM(K19:K29)</f>
        <v/>
      </c>
      <c r="L30" s="3">
        <f>SUM(L19:L29)</f>
        <v/>
      </c>
      <c r="M30" s="3">
        <f>SUM(M19:M29)</f>
        <v/>
      </c>
      <c r="N30" s="3">
        <f>SUM(N19:N29)</f>
        <v/>
      </c>
      <c r="O30" s="3">
        <f>SUM(O19:O29)</f>
        <v/>
      </c>
      <c r="P30" s="3">
        <f>SUM(P19:P29)</f>
        <v/>
      </c>
      <c r="Q30" s="3">
        <f>SUM(Q19:Q29)</f>
        <v/>
      </c>
      <c r="R30" s="3">
        <f>SUM(R19:R29)</f>
        <v/>
      </c>
      <c r="S30" s="3">
        <f>SUM(S19:S29)</f>
        <v/>
      </c>
      <c r="T30" s="3">
        <f>SUM(T19:T29)</f>
        <v/>
      </c>
      <c r="U30" s="3">
        <f>SUM(U19:U29)</f>
        <v/>
      </c>
      <c r="V30" s="3">
        <f>SUM(V19:V29)</f>
        <v/>
      </c>
      <c r="W30" s="3">
        <f>SUM(W19:W29)</f>
        <v/>
      </c>
      <c r="X30" s="3">
        <f>SUM(X19:X29)</f>
        <v/>
      </c>
      <c r="Y30" s="3">
        <f>SUM(Y19:Y29)</f>
        <v/>
      </c>
      <c r="Z30" s="3">
        <f>SUM(B30:M30)</f>
        <v/>
      </c>
      <c r="AA30" s="3">
        <f>SUM(N30:Y30)</f>
        <v/>
      </c>
      <c r="AB30" s="3">
        <f>Z30+AA30</f>
        <v/>
      </c>
    </row>
    <row r="32">
      <c r="A32" t="inlineStr">
        <is>
          <t>Ricavi totali</t>
        </is>
      </c>
      <c r="B32" s="3">
        <f>B15+B30</f>
        <v/>
      </c>
      <c r="C32" s="3">
        <f>C15+C30</f>
        <v/>
      </c>
      <c r="D32" s="3">
        <f>D15+D30</f>
        <v/>
      </c>
      <c r="E32" s="3">
        <f>E15+E30</f>
        <v/>
      </c>
      <c r="F32" s="3">
        <f>F15+F30</f>
        <v/>
      </c>
      <c r="G32" s="3">
        <f>G15+G30</f>
        <v/>
      </c>
      <c r="H32" s="3">
        <f>H15+H30</f>
        <v/>
      </c>
      <c r="I32" s="3">
        <f>I15+I30</f>
        <v/>
      </c>
      <c r="J32" s="3">
        <f>J15+J30</f>
        <v/>
      </c>
      <c r="K32" s="3">
        <f>K15+K30</f>
        <v/>
      </c>
      <c r="L32" s="3">
        <f>L15+L30</f>
        <v/>
      </c>
      <c r="M32" s="3">
        <f>M15+M30</f>
        <v/>
      </c>
      <c r="N32" s="3">
        <f>N15+N30</f>
        <v/>
      </c>
      <c r="O32" s="3">
        <f>O15+O30</f>
        <v/>
      </c>
      <c r="P32" s="3">
        <f>P15+P30</f>
        <v/>
      </c>
      <c r="Q32" s="3">
        <f>Q15+Q30</f>
        <v/>
      </c>
      <c r="R32" s="3">
        <f>R15+R30</f>
        <v/>
      </c>
      <c r="S32" s="3">
        <f>S15+S30</f>
        <v/>
      </c>
      <c r="T32" s="3">
        <f>T15+T30</f>
        <v/>
      </c>
      <c r="U32" s="3">
        <f>U15+U30</f>
        <v/>
      </c>
      <c r="V32" s="3">
        <f>V15+V30</f>
        <v/>
      </c>
      <c r="W32" s="3">
        <f>W15+W30</f>
        <v/>
      </c>
      <c r="X32" s="3">
        <f>X15+X30</f>
        <v/>
      </c>
      <c r="Y32" s="3">
        <f>Y15+Y30</f>
        <v/>
      </c>
      <c r="Z32" s="3">
        <f>SUM(B32:M32)</f>
        <v/>
      </c>
      <c r="AA32" s="3">
        <f>SUM(N32:Y32)</f>
        <v/>
      </c>
      <c r="AB32" s="3">
        <f>Z32+AA32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</cols>
  <sheetData>
    <row r="1">
      <c r="A1" s="5" t="inlineStr">
        <is>
          <t>Costi diretti</t>
        </is>
      </c>
    </row>
    <row r="3">
      <c r="A3" s="2" t="inlineStr">
        <is>
          <t>Categoria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n">
        <v>13</v>
      </c>
      <c r="O3" s="2" t="n">
        <v>14</v>
      </c>
      <c r="P3" s="2" t="n">
        <v>15</v>
      </c>
      <c r="Q3" s="2" t="n">
        <v>16</v>
      </c>
      <c r="R3" s="2" t="n">
        <v>17</v>
      </c>
      <c r="S3" s="2" t="n">
        <v>18</v>
      </c>
      <c r="T3" s="2" t="n">
        <v>19</v>
      </c>
      <c r="U3" s="2" t="n">
        <v>20</v>
      </c>
      <c r="V3" s="2" t="n">
        <v>21</v>
      </c>
      <c r="W3" s="2" t="n">
        <v>22</v>
      </c>
      <c r="X3" s="2" t="n">
        <v>23</v>
      </c>
      <c r="Y3" s="2" t="n">
        <v>24</v>
      </c>
      <c r="Z3" s="12" t="inlineStr">
        <is>
          <t>Anno 1</t>
        </is>
      </c>
      <c r="AA3" s="12" t="inlineStr">
        <is>
          <t>Anno 2</t>
        </is>
      </c>
      <c r="AB3" s="12" t="inlineStr">
        <is>
          <t>24 mesi</t>
        </is>
      </c>
    </row>
    <row r="4">
      <c r="A4" t="inlineStr">
        <is>
          <t>Hotel Agent OS (agenti AI operativi)</t>
        </is>
      </c>
      <c r="B4" s="3">
        <f>Revenue!B4*Assumptions!$J$16</f>
        <v/>
      </c>
      <c r="C4" s="3">
        <f>Revenue!C4*Assumptions!$J$16</f>
        <v/>
      </c>
      <c r="D4" s="3">
        <f>Revenue!D4*Assumptions!$J$16</f>
        <v/>
      </c>
      <c r="E4" s="3">
        <f>Revenue!E4*Assumptions!$J$16</f>
        <v/>
      </c>
      <c r="F4" s="3">
        <f>Revenue!F4*Assumptions!$J$16</f>
        <v/>
      </c>
      <c r="G4" s="3">
        <f>Revenue!G4*Assumptions!$J$16</f>
        <v/>
      </c>
      <c r="H4" s="3">
        <f>Revenue!H4*Assumptions!$J$16</f>
        <v/>
      </c>
      <c r="I4" s="3">
        <f>Revenue!I4*Assumptions!$J$16</f>
        <v/>
      </c>
      <c r="J4" s="3">
        <f>Revenue!J4*Assumptions!$J$16</f>
        <v/>
      </c>
      <c r="K4" s="3">
        <f>Revenue!K4*Assumptions!$J$16</f>
        <v/>
      </c>
      <c r="L4" s="3">
        <f>Revenue!L4*Assumptions!$J$16</f>
        <v/>
      </c>
      <c r="M4" s="3">
        <f>Revenue!M4*Assumptions!$J$16</f>
        <v/>
      </c>
      <c r="N4" s="3">
        <f>Revenue!N4*Assumptions!$J$16</f>
        <v/>
      </c>
      <c r="O4" s="3">
        <f>Revenue!O4*Assumptions!$J$16</f>
        <v/>
      </c>
      <c r="P4" s="3">
        <f>Revenue!P4*Assumptions!$J$16</f>
        <v/>
      </c>
      <c r="Q4" s="3">
        <f>Revenue!Q4*Assumptions!$J$16</f>
        <v/>
      </c>
      <c r="R4" s="3">
        <f>Revenue!R4*Assumptions!$J$16</f>
        <v/>
      </c>
      <c r="S4" s="3">
        <f>Revenue!S4*Assumptions!$J$16</f>
        <v/>
      </c>
      <c r="T4" s="3">
        <f>Revenue!T4*Assumptions!$J$16</f>
        <v/>
      </c>
      <c r="U4" s="3">
        <f>Revenue!U4*Assumptions!$J$16</f>
        <v/>
      </c>
      <c r="V4" s="3">
        <f>Revenue!V4*Assumptions!$J$16</f>
        <v/>
      </c>
      <c r="W4" s="3">
        <f>Revenue!W4*Assumptions!$J$16</f>
        <v/>
      </c>
      <c r="X4" s="3">
        <f>Revenue!X4*Assumptions!$J$16</f>
        <v/>
      </c>
      <c r="Y4" s="3">
        <f>Revenue!Y4*Assumptions!$J$16</f>
        <v/>
      </c>
      <c r="Z4" s="3">
        <f>SUM(B4:M4)</f>
        <v/>
      </c>
      <c r="AA4" s="3">
        <f>SUM(N4:Y4)</f>
        <v/>
      </c>
      <c r="AB4" s="3">
        <f>Z4+AA4</f>
        <v/>
      </c>
    </row>
    <row r="5">
      <c r="A5" t="inlineStr">
        <is>
          <t>GuestNode Lobby (terminale in reception)</t>
        </is>
      </c>
      <c r="B5" s="3">
        <f>Revenue!B5*Assumptions!$J$17</f>
        <v/>
      </c>
      <c r="C5" s="3">
        <f>Revenue!C5*Assumptions!$J$17</f>
        <v/>
      </c>
      <c r="D5" s="3">
        <f>Revenue!D5*Assumptions!$J$17</f>
        <v/>
      </c>
      <c r="E5" s="3">
        <f>Revenue!E5*Assumptions!$J$17</f>
        <v/>
      </c>
      <c r="F5" s="3">
        <f>Revenue!F5*Assumptions!$J$17</f>
        <v/>
      </c>
      <c r="G5" s="3">
        <f>Revenue!G5*Assumptions!$J$17</f>
        <v/>
      </c>
      <c r="H5" s="3">
        <f>Revenue!H5*Assumptions!$J$17</f>
        <v/>
      </c>
      <c r="I5" s="3">
        <f>Revenue!I5*Assumptions!$J$17</f>
        <v/>
      </c>
      <c r="J5" s="3">
        <f>Revenue!J5*Assumptions!$J$17</f>
        <v/>
      </c>
      <c r="K5" s="3">
        <f>Revenue!K5*Assumptions!$J$17</f>
        <v/>
      </c>
      <c r="L5" s="3">
        <f>Revenue!L5*Assumptions!$J$17</f>
        <v/>
      </c>
      <c r="M5" s="3">
        <f>Revenue!M5*Assumptions!$J$17</f>
        <v/>
      </c>
      <c r="N5" s="3">
        <f>Revenue!N5*Assumptions!$J$17</f>
        <v/>
      </c>
      <c r="O5" s="3">
        <f>Revenue!O5*Assumptions!$J$17</f>
        <v/>
      </c>
      <c r="P5" s="3">
        <f>Revenue!P5*Assumptions!$J$17</f>
        <v/>
      </c>
      <c r="Q5" s="3">
        <f>Revenue!Q5*Assumptions!$J$17</f>
        <v/>
      </c>
      <c r="R5" s="3">
        <f>Revenue!R5*Assumptions!$J$17</f>
        <v/>
      </c>
      <c r="S5" s="3">
        <f>Revenue!S5*Assumptions!$J$17</f>
        <v/>
      </c>
      <c r="T5" s="3">
        <f>Revenue!T5*Assumptions!$J$17</f>
        <v/>
      </c>
      <c r="U5" s="3">
        <f>Revenue!U5*Assumptions!$J$17</f>
        <v/>
      </c>
      <c r="V5" s="3">
        <f>Revenue!V5*Assumptions!$J$17</f>
        <v/>
      </c>
      <c r="W5" s="3">
        <f>Revenue!W5*Assumptions!$J$17</f>
        <v/>
      </c>
      <c r="X5" s="3">
        <f>Revenue!X5*Assumptions!$J$17</f>
        <v/>
      </c>
      <c r="Y5" s="3">
        <f>Revenue!Y5*Assumptions!$J$17</f>
        <v/>
      </c>
      <c r="Z5" s="3">
        <f>SUM(B5:M5)</f>
        <v/>
      </c>
      <c r="AA5" s="3">
        <f>SUM(N5:Y5)</f>
        <v/>
      </c>
      <c r="AB5" s="3">
        <f>Z5+AA5</f>
        <v/>
      </c>
    </row>
    <row r="6">
      <c r="A6" t="inlineStr">
        <is>
          <t>GuestNode in camera</t>
        </is>
      </c>
      <c r="B6" s="3">
        <f>Revenue!B6*Assumptions!$J$18</f>
        <v/>
      </c>
      <c r="C6" s="3">
        <f>Revenue!C6*Assumptions!$J$18</f>
        <v/>
      </c>
      <c r="D6" s="3">
        <f>Revenue!D6*Assumptions!$J$18</f>
        <v/>
      </c>
      <c r="E6" s="3">
        <f>Revenue!E6*Assumptions!$J$18</f>
        <v/>
      </c>
      <c r="F6" s="3">
        <f>Revenue!F6*Assumptions!$J$18</f>
        <v/>
      </c>
      <c r="G6" s="3">
        <f>Revenue!G6*Assumptions!$J$18</f>
        <v/>
      </c>
      <c r="H6" s="3">
        <f>Revenue!H6*Assumptions!$J$18</f>
        <v/>
      </c>
      <c r="I6" s="3">
        <f>Revenue!I6*Assumptions!$J$18</f>
        <v/>
      </c>
      <c r="J6" s="3">
        <f>Revenue!J6*Assumptions!$J$18</f>
        <v/>
      </c>
      <c r="K6" s="3">
        <f>Revenue!K6*Assumptions!$J$18</f>
        <v/>
      </c>
      <c r="L6" s="3">
        <f>Revenue!L6*Assumptions!$J$18</f>
        <v/>
      </c>
      <c r="M6" s="3">
        <f>Revenue!M6*Assumptions!$J$18</f>
        <v/>
      </c>
      <c r="N6" s="3">
        <f>Revenue!N6*Assumptions!$J$18</f>
        <v/>
      </c>
      <c r="O6" s="3">
        <f>Revenue!O6*Assumptions!$J$18</f>
        <v/>
      </c>
      <c r="P6" s="3">
        <f>Revenue!P6*Assumptions!$J$18</f>
        <v/>
      </c>
      <c r="Q6" s="3">
        <f>Revenue!Q6*Assumptions!$J$18</f>
        <v/>
      </c>
      <c r="R6" s="3">
        <f>Revenue!R6*Assumptions!$J$18</f>
        <v/>
      </c>
      <c r="S6" s="3">
        <f>Revenue!S6*Assumptions!$J$18</f>
        <v/>
      </c>
      <c r="T6" s="3">
        <f>Revenue!T6*Assumptions!$J$18</f>
        <v/>
      </c>
      <c r="U6" s="3">
        <f>Revenue!U6*Assumptions!$J$18</f>
        <v/>
      </c>
      <c r="V6" s="3">
        <f>Revenue!V6*Assumptions!$J$18</f>
        <v/>
      </c>
      <c r="W6" s="3">
        <f>Revenue!W6*Assumptions!$J$18</f>
        <v/>
      </c>
      <c r="X6" s="3">
        <f>Revenue!X6*Assumptions!$J$18</f>
        <v/>
      </c>
      <c r="Y6" s="3">
        <f>Revenue!Y6*Assumptions!$J$18</f>
        <v/>
      </c>
      <c r="Z6" s="3">
        <f>SUM(B6:M6)</f>
        <v/>
      </c>
      <c r="AA6" s="3">
        <f>SUM(N6:Y6)</f>
        <v/>
      </c>
      <c r="AB6" s="3">
        <f>Z6+AA6</f>
        <v/>
      </c>
    </row>
    <row r="7">
      <c r="A7" t="inlineStr">
        <is>
          <t>Smart Travel Wall (vending/micro-market)</t>
        </is>
      </c>
      <c r="B7" s="3">
        <f>Revenue!B7*Assumptions!$J$19</f>
        <v/>
      </c>
      <c r="C7" s="3">
        <f>Revenue!C7*Assumptions!$J$19</f>
        <v/>
      </c>
      <c r="D7" s="3">
        <f>Revenue!D7*Assumptions!$J$19</f>
        <v/>
      </c>
      <c r="E7" s="3">
        <f>Revenue!E7*Assumptions!$J$19</f>
        <v/>
      </c>
      <c r="F7" s="3">
        <f>Revenue!F7*Assumptions!$J$19</f>
        <v/>
      </c>
      <c r="G7" s="3">
        <f>Revenue!G7*Assumptions!$J$19</f>
        <v/>
      </c>
      <c r="H7" s="3">
        <f>Revenue!H7*Assumptions!$J$19</f>
        <v/>
      </c>
      <c r="I7" s="3">
        <f>Revenue!I7*Assumptions!$J$19</f>
        <v/>
      </c>
      <c r="J7" s="3">
        <f>Revenue!J7*Assumptions!$J$19</f>
        <v/>
      </c>
      <c r="K7" s="3">
        <f>Revenue!K7*Assumptions!$J$19</f>
        <v/>
      </c>
      <c r="L7" s="3">
        <f>Revenue!L7*Assumptions!$J$19</f>
        <v/>
      </c>
      <c r="M7" s="3">
        <f>Revenue!M7*Assumptions!$J$19</f>
        <v/>
      </c>
      <c r="N7" s="3">
        <f>Revenue!N7*Assumptions!$J$19</f>
        <v/>
      </c>
      <c r="O7" s="3">
        <f>Revenue!O7*Assumptions!$J$19</f>
        <v/>
      </c>
      <c r="P7" s="3">
        <f>Revenue!P7*Assumptions!$J$19</f>
        <v/>
      </c>
      <c r="Q7" s="3">
        <f>Revenue!Q7*Assumptions!$J$19</f>
        <v/>
      </c>
      <c r="R7" s="3">
        <f>Revenue!R7*Assumptions!$J$19</f>
        <v/>
      </c>
      <c r="S7" s="3">
        <f>Revenue!S7*Assumptions!$J$19</f>
        <v/>
      </c>
      <c r="T7" s="3">
        <f>Revenue!T7*Assumptions!$J$19</f>
        <v/>
      </c>
      <c r="U7" s="3">
        <f>Revenue!U7*Assumptions!$J$19</f>
        <v/>
      </c>
      <c r="V7" s="3">
        <f>Revenue!V7*Assumptions!$J$19</f>
        <v/>
      </c>
      <c r="W7" s="3">
        <f>Revenue!W7*Assumptions!$J$19</f>
        <v/>
      </c>
      <c r="X7" s="3">
        <f>Revenue!X7*Assumptions!$J$19</f>
        <v/>
      </c>
      <c r="Y7" s="3">
        <f>Revenue!Y7*Assumptions!$J$19</f>
        <v/>
      </c>
      <c r="Z7" s="3">
        <f>SUM(B7:M7)</f>
        <v/>
      </c>
      <c r="AA7" s="3">
        <f>SUM(N7:Y7)</f>
        <v/>
      </c>
      <c r="AB7" s="3">
        <f>Z7+AA7</f>
        <v/>
      </c>
    </row>
    <row r="8">
      <c r="A8" t="inlineStr">
        <is>
          <t>Armadietti a noleggio</t>
        </is>
      </c>
      <c r="B8" s="3">
        <f>Revenue!B8*Assumptions!$J$20</f>
        <v/>
      </c>
      <c r="C8" s="3">
        <f>Revenue!C8*Assumptions!$J$20</f>
        <v/>
      </c>
      <c r="D8" s="3">
        <f>Revenue!D8*Assumptions!$J$20</f>
        <v/>
      </c>
      <c r="E8" s="3">
        <f>Revenue!E8*Assumptions!$J$20</f>
        <v/>
      </c>
      <c r="F8" s="3">
        <f>Revenue!F8*Assumptions!$J$20</f>
        <v/>
      </c>
      <c r="G8" s="3">
        <f>Revenue!G8*Assumptions!$J$20</f>
        <v/>
      </c>
      <c r="H8" s="3">
        <f>Revenue!H8*Assumptions!$J$20</f>
        <v/>
      </c>
      <c r="I8" s="3">
        <f>Revenue!I8*Assumptions!$J$20</f>
        <v/>
      </c>
      <c r="J8" s="3">
        <f>Revenue!J8*Assumptions!$J$20</f>
        <v/>
      </c>
      <c r="K8" s="3">
        <f>Revenue!K8*Assumptions!$J$20</f>
        <v/>
      </c>
      <c r="L8" s="3">
        <f>Revenue!L8*Assumptions!$J$20</f>
        <v/>
      </c>
      <c r="M8" s="3">
        <f>Revenue!M8*Assumptions!$J$20</f>
        <v/>
      </c>
      <c r="N8" s="3">
        <f>Revenue!N8*Assumptions!$J$20</f>
        <v/>
      </c>
      <c r="O8" s="3">
        <f>Revenue!O8*Assumptions!$J$20</f>
        <v/>
      </c>
      <c r="P8" s="3">
        <f>Revenue!P8*Assumptions!$J$20</f>
        <v/>
      </c>
      <c r="Q8" s="3">
        <f>Revenue!Q8*Assumptions!$J$20</f>
        <v/>
      </c>
      <c r="R8" s="3">
        <f>Revenue!R8*Assumptions!$J$20</f>
        <v/>
      </c>
      <c r="S8" s="3">
        <f>Revenue!S8*Assumptions!$J$20</f>
        <v/>
      </c>
      <c r="T8" s="3">
        <f>Revenue!T8*Assumptions!$J$20</f>
        <v/>
      </c>
      <c r="U8" s="3">
        <f>Revenue!U8*Assumptions!$J$20</f>
        <v/>
      </c>
      <c r="V8" s="3">
        <f>Revenue!V8*Assumptions!$J$20</f>
        <v/>
      </c>
      <c r="W8" s="3">
        <f>Revenue!W8*Assumptions!$J$20</f>
        <v/>
      </c>
      <c r="X8" s="3">
        <f>Revenue!X8*Assumptions!$J$20</f>
        <v/>
      </c>
      <c r="Y8" s="3">
        <f>Revenue!Y8*Assumptions!$J$20</f>
        <v/>
      </c>
      <c r="Z8" s="3">
        <f>SUM(B8:M8)</f>
        <v/>
      </c>
      <c r="AA8" s="3">
        <f>SUM(N8:Y8)</f>
        <v/>
      </c>
      <c r="AB8" s="3">
        <f>Z8+AA8</f>
        <v/>
      </c>
    </row>
    <row r="9">
      <c r="A9" t="inlineStr">
        <is>
          <t>Armadietti bagagli</t>
        </is>
      </c>
      <c r="B9" s="3">
        <f>Revenue!B9*Assumptions!$J$21</f>
        <v/>
      </c>
      <c r="C9" s="3">
        <f>Revenue!C9*Assumptions!$J$21</f>
        <v/>
      </c>
      <c r="D9" s="3">
        <f>Revenue!D9*Assumptions!$J$21</f>
        <v/>
      </c>
      <c r="E9" s="3">
        <f>Revenue!E9*Assumptions!$J$21</f>
        <v/>
      </c>
      <c r="F9" s="3">
        <f>Revenue!F9*Assumptions!$J$21</f>
        <v/>
      </c>
      <c r="G9" s="3">
        <f>Revenue!G9*Assumptions!$J$21</f>
        <v/>
      </c>
      <c r="H9" s="3">
        <f>Revenue!H9*Assumptions!$J$21</f>
        <v/>
      </c>
      <c r="I9" s="3">
        <f>Revenue!I9*Assumptions!$J$21</f>
        <v/>
      </c>
      <c r="J9" s="3">
        <f>Revenue!J9*Assumptions!$J$21</f>
        <v/>
      </c>
      <c r="K9" s="3">
        <f>Revenue!K9*Assumptions!$J$21</f>
        <v/>
      </c>
      <c r="L9" s="3">
        <f>Revenue!L9*Assumptions!$J$21</f>
        <v/>
      </c>
      <c r="M9" s="3">
        <f>Revenue!M9*Assumptions!$J$21</f>
        <v/>
      </c>
      <c r="N9" s="3">
        <f>Revenue!N9*Assumptions!$J$21</f>
        <v/>
      </c>
      <c r="O9" s="3">
        <f>Revenue!O9*Assumptions!$J$21</f>
        <v/>
      </c>
      <c r="P9" s="3">
        <f>Revenue!P9*Assumptions!$J$21</f>
        <v/>
      </c>
      <c r="Q9" s="3">
        <f>Revenue!Q9*Assumptions!$J$21</f>
        <v/>
      </c>
      <c r="R9" s="3">
        <f>Revenue!R9*Assumptions!$J$21</f>
        <v/>
      </c>
      <c r="S9" s="3">
        <f>Revenue!S9*Assumptions!$J$21</f>
        <v/>
      </c>
      <c r="T9" s="3">
        <f>Revenue!T9*Assumptions!$J$21</f>
        <v/>
      </c>
      <c r="U9" s="3">
        <f>Revenue!U9*Assumptions!$J$21</f>
        <v/>
      </c>
      <c r="V9" s="3">
        <f>Revenue!V9*Assumptions!$J$21</f>
        <v/>
      </c>
      <c r="W9" s="3">
        <f>Revenue!W9*Assumptions!$J$21</f>
        <v/>
      </c>
      <c r="X9" s="3">
        <f>Revenue!X9*Assumptions!$J$21</f>
        <v/>
      </c>
      <c r="Y9" s="3">
        <f>Revenue!Y9*Assumptions!$J$21</f>
        <v/>
      </c>
      <c r="Z9" s="3">
        <f>SUM(B9:M9)</f>
        <v/>
      </c>
      <c r="AA9" s="3">
        <f>SUM(N9:Y9)</f>
        <v/>
      </c>
      <c r="AB9" s="3">
        <f>Z9+AA9</f>
        <v/>
      </c>
    </row>
    <row r="10">
      <c r="A10" t="inlineStr">
        <is>
          <t>Noleggio power bank</t>
        </is>
      </c>
      <c r="B10" s="3">
        <f>Revenue!B10*Assumptions!$J$22</f>
        <v/>
      </c>
      <c r="C10" s="3">
        <f>Revenue!C10*Assumptions!$J$22</f>
        <v/>
      </c>
      <c r="D10" s="3">
        <f>Revenue!D10*Assumptions!$J$22</f>
        <v/>
      </c>
      <c r="E10" s="3">
        <f>Revenue!E10*Assumptions!$J$22</f>
        <v/>
      </c>
      <c r="F10" s="3">
        <f>Revenue!F10*Assumptions!$J$22</f>
        <v/>
      </c>
      <c r="G10" s="3">
        <f>Revenue!G10*Assumptions!$J$22</f>
        <v/>
      </c>
      <c r="H10" s="3">
        <f>Revenue!H10*Assumptions!$J$22</f>
        <v/>
      </c>
      <c r="I10" s="3">
        <f>Revenue!I10*Assumptions!$J$22</f>
        <v/>
      </c>
      <c r="J10" s="3">
        <f>Revenue!J10*Assumptions!$J$22</f>
        <v/>
      </c>
      <c r="K10" s="3">
        <f>Revenue!K10*Assumptions!$J$22</f>
        <v/>
      </c>
      <c r="L10" s="3">
        <f>Revenue!L10*Assumptions!$J$22</f>
        <v/>
      </c>
      <c r="M10" s="3">
        <f>Revenue!M10*Assumptions!$J$22</f>
        <v/>
      </c>
      <c r="N10" s="3">
        <f>Revenue!N10*Assumptions!$J$22</f>
        <v/>
      </c>
      <c r="O10" s="3">
        <f>Revenue!O10*Assumptions!$J$22</f>
        <v/>
      </c>
      <c r="P10" s="3">
        <f>Revenue!P10*Assumptions!$J$22</f>
        <v/>
      </c>
      <c r="Q10" s="3">
        <f>Revenue!Q10*Assumptions!$J$22</f>
        <v/>
      </c>
      <c r="R10" s="3">
        <f>Revenue!R10*Assumptions!$J$22</f>
        <v/>
      </c>
      <c r="S10" s="3">
        <f>Revenue!S10*Assumptions!$J$22</f>
        <v/>
      </c>
      <c r="T10" s="3">
        <f>Revenue!T10*Assumptions!$J$22</f>
        <v/>
      </c>
      <c r="U10" s="3">
        <f>Revenue!U10*Assumptions!$J$22</f>
        <v/>
      </c>
      <c r="V10" s="3">
        <f>Revenue!V10*Assumptions!$J$22</f>
        <v/>
      </c>
      <c r="W10" s="3">
        <f>Revenue!W10*Assumptions!$J$22</f>
        <v/>
      </c>
      <c r="X10" s="3">
        <f>Revenue!X10*Assumptions!$J$22</f>
        <v/>
      </c>
      <c r="Y10" s="3">
        <f>Revenue!Y10*Assumptions!$J$22</f>
        <v/>
      </c>
      <c r="Z10" s="3">
        <f>SUM(B10:M10)</f>
        <v/>
      </c>
      <c r="AA10" s="3">
        <f>SUM(N10:Y10)</f>
        <v/>
      </c>
      <c r="AB10" s="3">
        <f>Z10+AA10</f>
        <v/>
      </c>
    </row>
    <row r="11">
      <c r="A11" t="inlineStr">
        <is>
          <t>Kit IoT Energia</t>
        </is>
      </c>
      <c r="B11" s="3">
        <f>Revenue!B11*Assumptions!$J$23</f>
        <v/>
      </c>
      <c r="C11" s="3">
        <f>Revenue!C11*Assumptions!$J$23</f>
        <v/>
      </c>
      <c r="D11" s="3">
        <f>Revenue!D11*Assumptions!$J$23</f>
        <v/>
      </c>
      <c r="E11" s="3">
        <f>Revenue!E11*Assumptions!$J$23</f>
        <v/>
      </c>
      <c r="F11" s="3">
        <f>Revenue!F11*Assumptions!$J$23</f>
        <v/>
      </c>
      <c r="G11" s="3">
        <f>Revenue!G11*Assumptions!$J$23</f>
        <v/>
      </c>
      <c r="H11" s="3">
        <f>Revenue!H11*Assumptions!$J$23</f>
        <v/>
      </c>
      <c r="I11" s="3">
        <f>Revenue!I11*Assumptions!$J$23</f>
        <v/>
      </c>
      <c r="J11" s="3">
        <f>Revenue!J11*Assumptions!$J$23</f>
        <v/>
      </c>
      <c r="K11" s="3">
        <f>Revenue!K11*Assumptions!$J$23</f>
        <v/>
      </c>
      <c r="L11" s="3">
        <f>Revenue!L11*Assumptions!$J$23</f>
        <v/>
      </c>
      <c r="M11" s="3">
        <f>Revenue!M11*Assumptions!$J$23</f>
        <v/>
      </c>
      <c r="N11" s="3">
        <f>Revenue!N11*Assumptions!$J$23</f>
        <v/>
      </c>
      <c r="O11" s="3">
        <f>Revenue!O11*Assumptions!$J$23</f>
        <v/>
      </c>
      <c r="P11" s="3">
        <f>Revenue!P11*Assumptions!$J$23</f>
        <v/>
      </c>
      <c r="Q11" s="3">
        <f>Revenue!Q11*Assumptions!$J$23</f>
        <v/>
      </c>
      <c r="R11" s="3">
        <f>Revenue!R11*Assumptions!$J$23</f>
        <v/>
      </c>
      <c r="S11" s="3">
        <f>Revenue!S11*Assumptions!$J$23</f>
        <v/>
      </c>
      <c r="T11" s="3">
        <f>Revenue!T11*Assumptions!$J$23</f>
        <v/>
      </c>
      <c r="U11" s="3">
        <f>Revenue!U11*Assumptions!$J$23</f>
        <v/>
      </c>
      <c r="V11" s="3">
        <f>Revenue!V11*Assumptions!$J$23</f>
        <v/>
      </c>
      <c r="W11" s="3">
        <f>Revenue!W11*Assumptions!$J$23</f>
        <v/>
      </c>
      <c r="X11" s="3">
        <f>Revenue!X11*Assumptions!$J$23</f>
        <v/>
      </c>
      <c r="Y11" s="3">
        <f>Revenue!Y11*Assumptions!$J$23</f>
        <v/>
      </c>
      <c r="Z11" s="3">
        <f>SUM(B11:M11)</f>
        <v/>
      </c>
      <c r="AA11" s="3">
        <f>SUM(N11:Y11)</f>
        <v/>
      </c>
      <c r="AB11" s="3">
        <f>Z11+AA11</f>
        <v/>
      </c>
    </row>
    <row r="12">
      <c r="A12" t="inlineStr">
        <is>
          <t>Healthy Room IoT (qualità aria)</t>
        </is>
      </c>
      <c r="B12" s="3">
        <f>Revenue!B12*Assumptions!$J$24</f>
        <v/>
      </c>
      <c r="C12" s="3">
        <f>Revenue!C12*Assumptions!$J$24</f>
        <v/>
      </c>
      <c r="D12" s="3">
        <f>Revenue!D12*Assumptions!$J$24</f>
        <v/>
      </c>
      <c r="E12" s="3">
        <f>Revenue!E12*Assumptions!$J$24</f>
        <v/>
      </c>
      <c r="F12" s="3">
        <f>Revenue!F12*Assumptions!$J$24</f>
        <v/>
      </c>
      <c r="G12" s="3">
        <f>Revenue!G12*Assumptions!$J$24</f>
        <v/>
      </c>
      <c r="H12" s="3">
        <f>Revenue!H12*Assumptions!$J$24</f>
        <v/>
      </c>
      <c r="I12" s="3">
        <f>Revenue!I12*Assumptions!$J$24</f>
        <v/>
      </c>
      <c r="J12" s="3">
        <f>Revenue!J12*Assumptions!$J$24</f>
        <v/>
      </c>
      <c r="K12" s="3">
        <f>Revenue!K12*Assumptions!$J$24</f>
        <v/>
      </c>
      <c r="L12" s="3">
        <f>Revenue!L12*Assumptions!$J$24</f>
        <v/>
      </c>
      <c r="M12" s="3">
        <f>Revenue!M12*Assumptions!$J$24</f>
        <v/>
      </c>
      <c r="N12" s="3">
        <f>Revenue!N12*Assumptions!$J$24</f>
        <v/>
      </c>
      <c r="O12" s="3">
        <f>Revenue!O12*Assumptions!$J$24</f>
        <v/>
      </c>
      <c r="P12" s="3">
        <f>Revenue!P12*Assumptions!$J$24</f>
        <v/>
      </c>
      <c r="Q12" s="3">
        <f>Revenue!Q12*Assumptions!$J$24</f>
        <v/>
      </c>
      <c r="R12" s="3">
        <f>Revenue!R12*Assumptions!$J$24</f>
        <v/>
      </c>
      <c r="S12" s="3">
        <f>Revenue!S12*Assumptions!$J$24</f>
        <v/>
      </c>
      <c r="T12" s="3">
        <f>Revenue!T12*Assumptions!$J$24</f>
        <v/>
      </c>
      <c r="U12" s="3">
        <f>Revenue!U12*Assumptions!$J$24</f>
        <v/>
      </c>
      <c r="V12" s="3">
        <f>Revenue!V12*Assumptions!$J$24</f>
        <v/>
      </c>
      <c r="W12" s="3">
        <f>Revenue!W12*Assumptions!$J$24</f>
        <v/>
      </c>
      <c r="X12" s="3">
        <f>Revenue!X12*Assumptions!$J$24</f>
        <v/>
      </c>
      <c r="Y12" s="3">
        <f>Revenue!Y12*Assumptions!$J$24</f>
        <v/>
      </c>
      <c r="Z12" s="3">
        <f>SUM(B12:M12)</f>
        <v/>
      </c>
      <c r="AA12" s="3">
        <f>SUM(N12:Y12)</f>
        <v/>
      </c>
      <c r="AB12" s="3">
        <f>Z12+AA12</f>
        <v/>
      </c>
    </row>
    <row r="13">
      <c r="A13" t="inlineStr">
        <is>
          <t>Marketplace locale (tour, transfer, eSIM)</t>
        </is>
      </c>
      <c r="B13" s="3">
        <f>Revenue!B13*Assumptions!$J$25</f>
        <v/>
      </c>
      <c r="C13" s="3">
        <f>Revenue!C13*Assumptions!$J$25</f>
        <v/>
      </c>
      <c r="D13" s="3">
        <f>Revenue!D13*Assumptions!$J$25</f>
        <v/>
      </c>
      <c r="E13" s="3">
        <f>Revenue!E13*Assumptions!$J$25</f>
        <v/>
      </c>
      <c r="F13" s="3">
        <f>Revenue!F13*Assumptions!$J$25</f>
        <v/>
      </c>
      <c r="G13" s="3">
        <f>Revenue!G13*Assumptions!$J$25</f>
        <v/>
      </c>
      <c r="H13" s="3">
        <f>Revenue!H13*Assumptions!$J$25</f>
        <v/>
      </c>
      <c r="I13" s="3">
        <f>Revenue!I13*Assumptions!$J$25</f>
        <v/>
      </c>
      <c r="J13" s="3">
        <f>Revenue!J13*Assumptions!$J$25</f>
        <v/>
      </c>
      <c r="K13" s="3">
        <f>Revenue!K13*Assumptions!$J$25</f>
        <v/>
      </c>
      <c r="L13" s="3">
        <f>Revenue!L13*Assumptions!$J$25</f>
        <v/>
      </c>
      <c r="M13" s="3">
        <f>Revenue!M13*Assumptions!$J$25</f>
        <v/>
      </c>
      <c r="N13" s="3">
        <f>Revenue!N13*Assumptions!$J$25</f>
        <v/>
      </c>
      <c r="O13" s="3">
        <f>Revenue!O13*Assumptions!$J$25</f>
        <v/>
      </c>
      <c r="P13" s="3">
        <f>Revenue!P13*Assumptions!$J$25</f>
        <v/>
      </c>
      <c r="Q13" s="3">
        <f>Revenue!Q13*Assumptions!$J$25</f>
        <v/>
      </c>
      <c r="R13" s="3">
        <f>Revenue!R13*Assumptions!$J$25</f>
        <v/>
      </c>
      <c r="S13" s="3">
        <f>Revenue!S13*Assumptions!$J$25</f>
        <v/>
      </c>
      <c r="T13" s="3">
        <f>Revenue!T13*Assumptions!$J$25</f>
        <v/>
      </c>
      <c r="U13" s="3">
        <f>Revenue!U13*Assumptions!$J$25</f>
        <v/>
      </c>
      <c r="V13" s="3">
        <f>Revenue!V13*Assumptions!$J$25</f>
        <v/>
      </c>
      <c r="W13" s="3">
        <f>Revenue!W13*Assumptions!$J$25</f>
        <v/>
      </c>
      <c r="X13" s="3">
        <f>Revenue!X13*Assumptions!$J$25</f>
        <v/>
      </c>
      <c r="Y13" s="3">
        <f>Revenue!Y13*Assumptions!$J$25</f>
        <v/>
      </c>
      <c r="Z13" s="3">
        <f>SUM(B13:M13)</f>
        <v/>
      </c>
      <c r="AA13" s="3">
        <f>SUM(N13:Y13)</f>
        <v/>
      </c>
      <c r="AB13" s="3">
        <f>Z13+AA13</f>
        <v/>
      </c>
    </row>
    <row r="14">
      <c r="A14" t="inlineStr">
        <is>
          <t>Vending regolamentato tramite partner autorizzato (opzione, OFF nel base)</t>
        </is>
      </c>
      <c r="B14" s="3">
        <f>Revenue!B14*Assumptions!$J$26</f>
        <v/>
      </c>
      <c r="C14" s="3">
        <f>Revenue!C14*Assumptions!$J$26</f>
        <v/>
      </c>
      <c r="D14" s="3">
        <f>Revenue!D14*Assumptions!$J$26</f>
        <v/>
      </c>
      <c r="E14" s="3">
        <f>Revenue!E14*Assumptions!$J$26</f>
        <v/>
      </c>
      <c r="F14" s="3">
        <f>Revenue!F14*Assumptions!$J$26</f>
        <v/>
      </c>
      <c r="G14" s="3">
        <f>Revenue!G14*Assumptions!$J$26</f>
        <v/>
      </c>
      <c r="H14" s="3">
        <f>Revenue!H14*Assumptions!$J$26</f>
        <v/>
      </c>
      <c r="I14" s="3">
        <f>Revenue!I14*Assumptions!$J$26</f>
        <v/>
      </c>
      <c r="J14" s="3">
        <f>Revenue!J14*Assumptions!$J$26</f>
        <v/>
      </c>
      <c r="K14" s="3">
        <f>Revenue!K14*Assumptions!$J$26</f>
        <v/>
      </c>
      <c r="L14" s="3">
        <f>Revenue!L14*Assumptions!$J$26</f>
        <v/>
      </c>
      <c r="M14" s="3">
        <f>Revenue!M14*Assumptions!$J$26</f>
        <v/>
      </c>
      <c r="N14" s="3">
        <f>Revenue!N14*Assumptions!$J$26</f>
        <v/>
      </c>
      <c r="O14" s="3">
        <f>Revenue!O14*Assumptions!$J$26</f>
        <v/>
      </c>
      <c r="P14" s="3">
        <f>Revenue!P14*Assumptions!$J$26</f>
        <v/>
      </c>
      <c r="Q14" s="3">
        <f>Revenue!Q14*Assumptions!$J$26</f>
        <v/>
      </c>
      <c r="R14" s="3">
        <f>Revenue!R14*Assumptions!$J$26</f>
        <v/>
      </c>
      <c r="S14" s="3">
        <f>Revenue!S14*Assumptions!$J$26</f>
        <v/>
      </c>
      <c r="T14" s="3">
        <f>Revenue!T14*Assumptions!$J$26</f>
        <v/>
      </c>
      <c r="U14" s="3">
        <f>Revenue!U14*Assumptions!$J$26</f>
        <v/>
      </c>
      <c r="V14" s="3">
        <f>Revenue!V14*Assumptions!$J$26</f>
        <v/>
      </c>
      <c r="W14" s="3">
        <f>Revenue!W14*Assumptions!$J$26</f>
        <v/>
      </c>
      <c r="X14" s="3">
        <f>Revenue!X14*Assumptions!$J$26</f>
        <v/>
      </c>
      <c r="Y14" s="3">
        <f>Revenue!Y14*Assumptions!$J$26</f>
        <v/>
      </c>
      <c r="Z14" s="3">
        <f>SUM(B14:M14)</f>
        <v/>
      </c>
      <c r="AA14" s="3">
        <f>SUM(N14:Y14)</f>
        <v/>
      </c>
      <c r="AB14" s="3">
        <f>Z14+AA14</f>
        <v/>
      </c>
    </row>
    <row r="15">
      <c r="A15" t="inlineStr">
        <is>
          <t>24 mesi</t>
        </is>
      </c>
      <c r="B15" s="3">
        <f>SUM(B4:B14)</f>
        <v/>
      </c>
      <c r="C15" s="3">
        <f>SUM(C4:C14)</f>
        <v/>
      </c>
      <c r="D15" s="3">
        <f>SUM(D4:D14)</f>
        <v/>
      </c>
      <c r="E15" s="3">
        <f>SUM(E4:E14)</f>
        <v/>
      </c>
      <c r="F15" s="3">
        <f>SUM(F4:F14)</f>
        <v/>
      </c>
      <c r="G15" s="3">
        <f>SUM(G4:G14)</f>
        <v/>
      </c>
      <c r="H15" s="3">
        <f>SUM(H4:H14)</f>
        <v/>
      </c>
      <c r="I15" s="3">
        <f>SUM(I4:I14)</f>
        <v/>
      </c>
      <c r="J15" s="3">
        <f>SUM(J4:J14)</f>
        <v/>
      </c>
      <c r="K15" s="3">
        <f>SUM(K4:K14)</f>
        <v/>
      </c>
      <c r="L15" s="3">
        <f>SUM(L4:L14)</f>
        <v/>
      </c>
      <c r="M15" s="3">
        <f>SUM(M4:M14)</f>
        <v/>
      </c>
      <c r="N15" s="3">
        <f>SUM(N4:N14)</f>
        <v/>
      </c>
      <c r="O15" s="3">
        <f>SUM(O4:O14)</f>
        <v/>
      </c>
      <c r="P15" s="3">
        <f>SUM(P4:P14)</f>
        <v/>
      </c>
      <c r="Q15" s="3">
        <f>SUM(Q4:Q14)</f>
        <v/>
      </c>
      <c r="R15" s="3">
        <f>SUM(R4:R14)</f>
        <v/>
      </c>
      <c r="S15" s="3">
        <f>SUM(S4:S14)</f>
        <v/>
      </c>
      <c r="T15" s="3">
        <f>SUM(T4:T14)</f>
        <v/>
      </c>
      <c r="U15" s="3">
        <f>SUM(U4:U14)</f>
        <v/>
      </c>
      <c r="V15" s="3">
        <f>SUM(V4:V14)</f>
        <v/>
      </c>
      <c r="W15" s="3">
        <f>SUM(W4:W14)</f>
        <v/>
      </c>
      <c r="X15" s="3">
        <f>SUM(X4:X14)</f>
        <v/>
      </c>
      <c r="Y15" s="3">
        <f>SUM(Y4:Y14)</f>
        <v/>
      </c>
      <c r="Z15" s="3">
        <f>SUM(B15:M15)</f>
        <v/>
      </c>
      <c r="AA15" s="3">
        <f>SUM(N15:Y15)</f>
        <v/>
      </c>
      <c r="AB15" s="3">
        <f>Z15+AA15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</cols>
  <sheetData>
    <row r="1">
      <c r="A1" s="5" t="inlineStr">
        <is>
          <t>Capex (hardware + installazione)</t>
        </is>
      </c>
    </row>
    <row r="3">
      <c r="A3" s="2" t="inlineStr">
        <is>
          <t>Categoria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n">
        <v>13</v>
      </c>
      <c r="O3" s="2" t="n">
        <v>14</v>
      </c>
      <c r="P3" s="2" t="n">
        <v>15</v>
      </c>
      <c r="Q3" s="2" t="n">
        <v>16</v>
      </c>
      <c r="R3" s="2" t="n">
        <v>17</v>
      </c>
      <c r="S3" s="2" t="n">
        <v>18</v>
      </c>
      <c r="T3" s="2" t="n">
        <v>19</v>
      </c>
      <c r="U3" s="2" t="n">
        <v>20</v>
      </c>
      <c r="V3" s="2" t="n">
        <v>21</v>
      </c>
      <c r="W3" s="2" t="n">
        <v>22</v>
      </c>
      <c r="X3" s="2" t="n">
        <v>23</v>
      </c>
      <c r="Y3" s="2" t="n">
        <v>24</v>
      </c>
      <c r="Z3" s="12" t="inlineStr">
        <is>
          <t>Anno 1</t>
        </is>
      </c>
      <c r="AA3" s="12" t="inlineStr">
        <is>
          <t>Anno 2</t>
        </is>
      </c>
      <c r="AB3" s="12" t="inlineStr">
        <is>
          <t>24 mesi</t>
        </is>
      </c>
    </row>
    <row r="4">
      <c r="A4" t="inlineStr">
        <is>
          <t>Hotel Agent OS (agenti AI operativi)</t>
        </is>
      </c>
      <c r="B4" s="3">
        <f>Customers!B4*Assumptions!$E$16*(Assumptions!$F$16+Assumptions!$G$16)*(1+Assumptions!$B$10)</f>
        <v/>
      </c>
      <c r="C4" s="3">
        <f>MAX(0,Customers!C4-Customers!B4)*Assumptions!$E$16*(Assumptions!$F$16+Assumptions!$G$16)*(1+Assumptions!$B$10)</f>
        <v/>
      </c>
      <c r="D4" s="3">
        <f>MAX(0,Customers!D4-Customers!C4)*Assumptions!$E$16*(Assumptions!$F$16+Assumptions!$G$16)*(1+Assumptions!$B$10)</f>
        <v/>
      </c>
      <c r="E4" s="3">
        <f>MAX(0,Customers!E4-Customers!D4)*Assumptions!$E$16*(Assumptions!$F$16+Assumptions!$G$16)*(1+Assumptions!$B$10)</f>
        <v/>
      </c>
      <c r="F4" s="3">
        <f>MAX(0,Customers!F4-Customers!E4)*Assumptions!$E$16*(Assumptions!$F$16+Assumptions!$G$16)*(1+Assumptions!$B$10)</f>
        <v/>
      </c>
      <c r="G4" s="3">
        <f>MAX(0,Customers!G4-Customers!F4)*Assumptions!$E$16*(Assumptions!$F$16+Assumptions!$G$16)*(1+Assumptions!$B$10)</f>
        <v/>
      </c>
      <c r="H4" s="3">
        <f>MAX(0,Customers!H4-Customers!G4)*Assumptions!$E$16*(Assumptions!$F$16+Assumptions!$G$16)*(1+Assumptions!$B$10)</f>
        <v/>
      </c>
      <c r="I4" s="3">
        <f>MAX(0,Customers!I4-Customers!H4)*Assumptions!$E$16*(Assumptions!$F$16+Assumptions!$G$16)*(1+Assumptions!$B$10)</f>
        <v/>
      </c>
      <c r="J4" s="3">
        <f>MAX(0,Customers!J4-Customers!I4)*Assumptions!$E$16*(Assumptions!$F$16+Assumptions!$G$16)*(1+Assumptions!$B$10)</f>
        <v/>
      </c>
      <c r="K4" s="3">
        <f>MAX(0,Customers!K4-Customers!J4)*Assumptions!$E$16*(Assumptions!$F$16+Assumptions!$G$16)*(1+Assumptions!$B$10)</f>
        <v/>
      </c>
      <c r="L4" s="3">
        <f>MAX(0,Customers!L4-Customers!K4)*Assumptions!$E$16*(Assumptions!$F$16+Assumptions!$G$16)*(1+Assumptions!$B$10)</f>
        <v/>
      </c>
      <c r="M4" s="3">
        <f>MAX(0,Customers!M4-Customers!L4)*Assumptions!$E$16*(Assumptions!$F$16+Assumptions!$G$16)*(1+Assumptions!$B$10)</f>
        <v/>
      </c>
      <c r="N4" s="3">
        <f>MAX(0,Customers!N4-Customers!M4)*Assumptions!$E$16*(Assumptions!$F$16+Assumptions!$G$16)*(1+Assumptions!$B$10)</f>
        <v/>
      </c>
      <c r="O4" s="3">
        <f>MAX(0,Customers!O4-Customers!N4)*Assumptions!$E$16*(Assumptions!$F$16+Assumptions!$G$16)*(1+Assumptions!$B$10)</f>
        <v/>
      </c>
      <c r="P4" s="3">
        <f>MAX(0,Customers!P4-Customers!O4)*Assumptions!$E$16*(Assumptions!$F$16+Assumptions!$G$16)*(1+Assumptions!$B$10)</f>
        <v/>
      </c>
      <c r="Q4" s="3">
        <f>MAX(0,Customers!Q4-Customers!P4)*Assumptions!$E$16*(Assumptions!$F$16+Assumptions!$G$16)*(1+Assumptions!$B$10)</f>
        <v/>
      </c>
      <c r="R4" s="3">
        <f>MAX(0,Customers!R4-Customers!Q4)*Assumptions!$E$16*(Assumptions!$F$16+Assumptions!$G$16)*(1+Assumptions!$B$10)</f>
        <v/>
      </c>
      <c r="S4" s="3">
        <f>MAX(0,Customers!S4-Customers!R4)*Assumptions!$E$16*(Assumptions!$F$16+Assumptions!$G$16)*(1+Assumptions!$B$10)</f>
        <v/>
      </c>
      <c r="T4" s="3">
        <f>MAX(0,Customers!T4-Customers!S4)*Assumptions!$E$16*(Assumptions!$F$16+Assumptions!$G$16)*(1+Assumptions!$B$10)</f>
        <v/>
      </c>
      <c r="U4" s="3">
        <f>MAX(0,Customers!U4-Customers!T4)*Assumptions!$E$16*(Assumptions!$F$16+Assumptions!$G$16)*(1+Assumptions!$B$10)</f>
        <v/>
      </c>
      <c r="V4" s="3">
        <f>MAX(0,Customers!V4-Customers!U4)*Assumptions!$E$16*(Assumptions!$F$16+Assumptions!$G$16)*(1+Assumptions!$B$10)</f>
        <v/>
      </c>
      <c r="W4" s="3">
        <f>MAX(0,Customers!W4-Customers!V4)*Assumptions!$E$16*(Assumptions!$F$16+Assumptions!$G$16)*(1+Assumptions!$B$10)</f>
        <v/>
      </c>
      <c r="X4" s="3">
        <f>MAX(0,Customers!X4-Customers!W4)*Assumptions!$E$16*(Assumptions!$F$16+Assumptions!$G$16)*(1+Assumptions!$B$10)</f>
        <v/>
      </c>
      <c r="Y4" s="3">
        <f>MAX(0,Customers!Y4-Customers!X4)*Assumptions!$E$16*(Assumptions!$F$16+Assumptions!$G$16)*(1+Assumptions!$B$10)</f>
        <v/>
      </c>
      <c r="Z4" s="3">
        <f>SUM(B4:M4)</f>
        <v/>
      </c>
      <c r="AA4" s="3">
        <f>SUM(N4:Y4)</f>
        <v/>
      </c>
      <c r="AB4" s="3">
        <f>Z4+AA4</f>
        <v/>
      </c>
    </row>
    <row r="5">
      <c r="A5" t="inlineStr">
        <is>
          <t>GuestNode Lobby (terminale in reception)</t>
        </is>
      </c>
      <c r="B5" s="3">
        <f>Customers!B5*Assumptions!$E$17*(Assumptions!$F$17+Assumptions!$G$17)*(1+Assumptions!$B$10)</f>
        <v/>
      </c>
      <c r="C5" s="3">
        <f>MAX(0,Customers!C5-Customers!B5)*Assumptions!$E$17*(Assumptions!$F$17+Assumptions!$G$17)*(1+Assumptions!$B$10)</f>
        <v/>
      </c>
      <c r="D5" s="3">
        <f>MAX(0,Customers!D5-Customers!C5)*Assumptions!$E$17*(Assumptions!$F$17+Assumptions!$G$17)*(1+Assumptions!$B$10)</f>
        <v/>
      </c>
      <c r="E5" s="3">
        <f>MAX(0,Customers!E5-Customers!D5)*Assumptions!$E$17*(Assumptions!$F$17+Assumptions!$G$17)*(1+Assumptions!$B$10)</f>
        <v/>
      </c>
      <c r="F5" s="3">
        <f>MAX(0,Customers!F5-Customers!E5)*Assumptions!$E$17*(Assumptions!$F$17+Assumptions!$G$17)*(1+Assumptions!$B$10)</f>
        <v/>
      </c>
      <c r="G5" s="3">
        <f>MAX(0,Customers!G5-Customers!F5)*Assumptions!$E$17*(Assumptions!$F$17+Assumptions!$G$17)*(1+Assumptions!$B$10)</f>
        <v/>
      </c>
      <c r="H5" s="3">
        <f>MAX(0,Customers!H5-Customers!G5)*Assumptions!$E$17*(Assumptions!$F$17+Assumptions!$G$17)*(1+Assumptions!$B$10)</f>
        <v/>
      </c>
      <c r="I5" s="3">
        <f>MAX(0,Customers!I5-Customers!H5)*Assumptions!$E$17*(Assumptions!$F$17+Assumptions!$G$17)*(1+Assumptions!$B$10)</f>
        <v/>
      </c>
      <c r="J5" s="3">
        <f>MAX(0,Customers!J5-Customers!I5)*Assumptions!$E$17*(Assumptions!$F$17+Assumptions!$G$17)*(1+Assumptions!$B$10)</f>
        <v/>
      </c>
      <c r="K5" s="3">
        <f>MAX(0,Customers!K5-Customers!J5)*Assumptions!$E$17*(Assumptions!$F$17+Assumptions!$G$17)*(1+Assumptions!$B$10)</f>
        <v/>
      </c>
      <c r="L5" s="3">
        <f>MAX(0,Customers!L5-Customers!K5)*Assumptions!$E$17*(Assumptions!$F$17+Assumptions!$G$17)*(1+Assumptions!$B$10)</f>
        <v/>
      </c>
      <c r="M5" s="3">
        <f>MAX(0,Customers!M5-Customers!L5)*Assumptions!$E$17*(Assumptions!$F$17+Assumptions!$G$17)*(1+Assumptions!$B$10)</f>
        <v/>
      </c>
      <c r="N5" s="3">
        <f>MAX(0,Customers!N5-Customers!M5)*Assumptions!$E$17*(Assumptions!$F$17+Assumptions!$G$17)*(1+Assumptions!$B$10)</f>
        <v/>
      </c>
      <c r="O5" s="3">
        <f>MAX(0,Customers!O5-Customers!N5)*Assumptions!$E$17*(Assumptions!$F$17+Assumptions!$G$17)*(1+Assumptions!$B$10)</f>
        <v/>
      </c>
      <c r="P5" s="3">
        <f>MAX(0,Customers!P5-Customers!O5)*Assumptions!$E$17*(Assumptions!$F$17+Assumptions!$G$17)*(1+Assumptions!$B$10)</f>
        <v/>
      </c>
      <c r="Q5" s="3">
        <f>MAX(0,Customers!Q5-Customers!P5)*Assumptions!$E$17*(Assumptions!$F$17+Assumptions!$G$17)*(1+Assumptions!$B$10)</f>
        <v/>
      </c>
      <c r="R5" s="3">
        <f>MAX(0,Customers!R5-Customers!Q5)*Assumptions!$E$17*(Assumptions!$F$17+Assumptions!$G$17)*(1+Assumptions!$B$10)</f>
        <v/>
      </c>
      <c r="S5" s="3">
        <f>MAX(0,Customers!S5-Customers!R5)*Assumptions!$E$17*(Assumptions!$F$17+Assumptions!$G$17)*(1+Assumptions!$B$10)</f>
        <v/>
      </c>
      <c r="T5" s="3">
        <f>MAX(0,Customers!T5-Customers!S5)*Assumptions!$E$17*(Assumptions!$F$17+Assumptions!$G$17)*(1+Assumptions!$B$10)</f>
        <v/>
      </c>
      <c r="U5" s="3">
        <f>MAX(0,Customers!U5-Customers!T5)*Assumptions!$E$17*(Assumptions!$F$17+Assumptions!$G$17)*(1+Assumptions!$B$10)</f>
        <v/>
      </c>
      <c r="V5" s="3">
        <f>MAX(0,Customers!V5-Customers!U5)*Assumptions!$E$17*(Assumptions!$F$17+Assumptions!$G$17)*(1+Assumptions!$B$10)</f>
        <v/>
      </c>
      <c r="W5" s="3">
        <f>MAX(0,Customers!W5-Customers!V5)*Assumptions!$E$17*(Assumptions!$F$17+Assumptions!$G$17)*(1+Assumptions!$B$10)</f>
        <v/>
      </c>
      <c r="X5" s="3">
        <f>MAX(0,Customers!X5-Customers!W5)*Assumptions!$E$17*(Assumptions!$F$17+Assumptions!$G$17)*(1+Assumptions!$B$10)</f>
        <v/>
      </c>
      <c r="Y5" s="3">
        <f>MAX(0,Customers!Y5-Customers!X5)*Assumptions!$E$17*(Assumptions!$F$17+Assumptions!$G$17)*(1+Assumptions!$B$10)</f>
        <v/>
      </c>
      <c r="Z5" s="3">
        <f>SUM(B5:M5)</f>
        <v/>
      </c>
      <c r="AA5" s="3">
        <f>SUM(N5:Y5)</f>
        <v/>
      </c>
      <c r="AB5" s="3">
        <f>Z5+AA5</f>
        <v/>
      </c>
    </row>
    <row r="6">
      <c r="A6" t="inlineStr">
        <is>
          <t>GuestNode in camera</t>
        </is>
      </c>
      <c r="B6" s="3">
        <f>Customers!B6*Assumptions!$E$18*(Assumptions!$F$18+Assumptions!$G$18)*(1+Assumptions!$B$10)</f>
        <v/>
      </c>
      <c r="C6" s="3">
        <f>MAX(0,Customers!C6-Customers!B6)*Assumptions!$E$18*(Assumptions!$F$18+Assumptions!$G$18)*(1+Assumptions!$B$10)</f>
        <v/>
      </c>
      <c r="D6" s="3">
        <f>MAX(0,Customers!D6-Customers!C6)*Assumptions!$E$18*(Assumptions!$F$18+Assumptions!$G$18)*(1+Assumptions!$B$10)</f>
        <v/>
      </c>
      <c r="E6" s="3">
        <f>MAX(0,Customers!E6-Customers!D6)*Assumptions!$E$18*(Assumptions!$F$18+Assumptions!$G$18)*(1+Assumptions!$B$10)</f>
        <v/>
      </c>
      <c r="F6" s="3">
        <f>MAX(0,Customers!F6-Customers!E6)*Assumptions!$E$18*(Assumptions!$F$18+Assumptions!$G$18)*(1+Assumptions!$B$10)</f>
        <v/>
      </c>
      <c r="G6" s="3">
        <f>MAX(0,Customers!G6-Customers!F6)*Assumptions!$E$18*(Assumptions!$F$18+Assumptions!$G$18)*(1+Assumptions!$B$10)</f>
        <v/>
      </c>
      <c r="H6" s="3">
        <f>MAX(0,Customers!H6-Customers!G6)*Assumptions!$E$18*(Assumptions!$F$18+Assumptions!$G$18)*(1+Assumptions!$B$10)</f>
        <v/>
      </c>
      <c r="I6" s="3">
        <f>MAX(0,Customers!I6-Customers!H6)*Assumptions!$E$18*(Assumptions!$F$18+Assumptions!$G$18)*(1+Assumptions!$B$10)</f>
        <v/>
      </c>
      <c r="J6" s="3">
        <f>MAX(0,Customers!J6-Customers!I6)*Assumptions!$E$18*(Assumptions!$F$18+Assumptions!$G$18)*(1+Assumptions!$B$10)</f>
        <v/>
      </c>
      <c r="K6" s="3">
        <f>MAX(0,Customers!K6-Customers!J6)*Assumptions!$E$18*(Assumptions!$F$18+Assumptions!$G$18)*(1+Assumptions!$B$10)</f>
        <v/>
      </c>
      <c r="L6" s="3">
        <f>MAX(0,Customers!L6-Customers!K6)*Assumptions!$E$18*(Assumptions!$F$18+Assumptions!$G$18)*(1+Assumptions!$B$10)</f>
        <v/>
      </c>
      <c r="M6" s="3">
        <f>MAX(0,Customers!M6-Customers!L6)*Assumptions!$E$18*(Assumptions!$F$18+Assumptions!$G$18)*(1+Assumptions!$B$10)</f>
        <v/>
      </c>
      <c r="N6" s="3">
        <f>MAX(0,Customers!N6-Customers!M6)*Assumptions!$E$18*(Assumptions!$F$18+Assumptions!$G$18)*(1+Assumptions!$B$10)</f>
        <v/>
      </c>
      <c r="O6" s="3">
        <f>MAX(0,Customers!O6-Customers!N6)*Assumptions!$E$18*(Assumptions!$F$18+Assumptions!$G$18)*(1+Assumptions!$B$10)</f>
        <v/>
      </c>
      <c r="P6" s="3">
        <f>MAX(0,Customers!P6-Customers!O6)*Assumptions!$E$18*(Assumptions!$F$18+Assumptions!$G$18)*(1+Assumptions!$B$10)</f>
        <v/>
      </c>
      <c r="Q6" s="3">
        <f>MAX(0,Customers!Q6-Customers!P6)*Assumptions!$E$18*(Assumptions!$F$18+Assumptions!$G$18)*(1+Assumptions!$B$10)</f>
        <v/>
      </c>
      <c r="R6" s="3">
        <f>MAX(0,Customers!R6-Customers!Q6)*Assumptions!$E$18*(Assumptions!$F$18+Assumptions!$G$18)*(1+Assumptions!$B$10)</f>
        <v/>
      </c>
      <c r="S6" s="3">
        <f>MAX(0,Customers!S6-Customers!R6)*Assumptions!$E$18*(Assumptions!$F$18+Assumptions!$G$18)*(1+Assumptions!$B$10)</f>
        <v/>
      </c>
      <c r="T6" s="3">
        <f>MAX(0,Customers!T6-Customers!S6)*Assumptions!$E$18*(Assumptions!$F$18+Assumptions!$G$18)*(1+Assumptions!$B$10)</f>
        <v/>
      </c>
      <c r="U6" s="3">
        <f>MAX(0,Customers!U6-Customers!T6)*Assumptions!$E$18*(Assumptions!$F$18+Assumptions!$G$18)*(1+Assumptions!$B$10)</f>
        <v/>
      </c>
      <c r="V6" s="3">
        <f>MAX(0,Customers!V6-Customers!U6)*Assumptions!$E$18*(Assumptions!$F$18+Assumptions!$G$18)*(1+Assumptions!$B$10)</f>
        <v/>
      </c>
      <c r="W6" s="3">
        <f>MAX(0,Customers!W6-Customers!V6)*Assumptions!$E$18*(Assumptions!$F$18+Assumptions!$G$18)*(1+Assumptions!$B$10)</f>
        <v/>
      </c>
      <c r="X6" s="3">
        <f>MAX(0,Customers!X6-Customers!W6)*Assumptions!$E$18*(Assumptions!$F$18+Assumptions!$G$18)*(1+Assumptions!$B$10)</f>
        <v/>
      </c>
      <c r="Y6" s="3">
        <f>MAX(0,Customers!Y6-Customers!X6)*Assumptions!$E$18*(Assumptions!$F$18+Assumptions!$G$18)*(1+Assumptions!$B$10)</f>
        <v/>
      </c>
      <c r="Z6" s="3">
        <f>SUM(B6:M6)</f>
        <v/>
      </c>
      <c r="AA6" s="3">
        <f>SUM(N6:Y6)</f>
        <v/>
      </c>
      <c r="AB6" s="3">
        <f>Z6+AA6</f>
        <v/>
      </c>
    </row>
    <row r="7">
      <c r="A7" t="inlineStr">
        <is>
          <t>Smart Travel Wall (vending/micro-market)</t>
        </is>
      </c>
      <c r="B7" s="3">
        <f>Customers!B7*Assumptions!$E$19*(Assumptions!$F$19+Assumptions!$G$19)*(1+Assumptions!$B$10)</f>
        <v/>
      </c>
      <c r="C7" s="3">
        <f>MAX(0,Customers!C7-Customers!B7)*Assumptions!$E$19*(Assumptions!$F$19+Assumptions!$G$19)*(1+Assumptions!$B$10)</f>
        <v/>
      </c>
      <c r="D7" s="3">
        <f>MAX(0,Customers!D7-Customers!C7)*Assumptions!$E$19*(Assumptions!$F$19+Assumptions!$G$19)*(1+Assumptions!$B$10)</f>
        <v/>
      </c>
      <c r="E7" s="3">
        <f>MAX(0,Customers!E7-Customers!D7)*Assumptions!$E$19*(Assumptions!$F$19+Assumptions!$G$19)*(1+Assumptions!$B$10)</f>
        <v/>
      </c>
      <c r="F7" s="3">
        <f>MAX(0,Customers!F7-Customers!E7)*Assumptions!$E$19*(Assumptions!$F$19+Assumptions!$G$19)*(1+Assumptions!$B$10)</f>
        <v/>
      </c>
      <c r="G7" s="3">
        <f>MAX(0,Customers!G7-Customers!F7)*Assumptions!$E$19*(Assumptions!$F$19+Assumptions!$G$19)*(1+Assumptions!$B$10)</f>
        <v/>
      </c>
      <c r="H7" s="3">
        <f>MAX(0,Customers!H7-Customers!G7)*Assumptions!$E$19*(Assumptions!$F$19+Assumptions!$G$19)*(1+Assumptions!$B$10)</f>
        <v/>
      </c>
      <c r="I7" s="3">
        <f>MAX(0,Customers!I7-Customers!H7)*Assumptions!$E$19*(Assumptions!$F$19+Assumptions!$G$19)*(1+Assumptions!$B$10)</f>
        <v/>
      </c>
      <c r="J7" s="3">
        <f>MAX(0,Customers!J7-Customers!I7)*Assumptions!$E$19*(Assumptions!$F$19+Assumptions!$G$19)*(1+Assumptions!$B$10)</f>
        <v/>
      </c>
      <c r="K7" s="3">
        <f>MAX(0,Customers!K7-Customers!J7)*Assumptions!$E$19*(Assumptions!$F$19+Assumptions!$G$19)*(1+Assumptions!$B$10)</f>
        <v/>
      </c>
      <c r="L7" s="3">
        <f>MAX(0,Customers!L7-Customers!K7)*Assumptions!$E$19*(Assumptions!$F$19+Assumptions!$G$19)*(1+Assumptions!$B$10)</f>
        <v/>
      </c>
      <c r="M7" s="3">
        <f>MAX(0,Customers!M7-Customers!L7)*Assumptions!$E$19*(Assumptions!$F$19+Assumptions!$G$19)*(1+Assumptions!$B$10)</f>
        <v/>
      </c>
      <c r="N7" s="3">
        <f>MAX(0,Customers!N7-Customers!M7)*Assumptions!$E$19*(Assumptions!$F$19+Assumptions!$G$19)*(1+Assumptions!$B$10)</f>
        <v/>
      </c>
      <c r="O7" s="3">
        <f>MAX(0,Customers!O7-Customers!N7)*Assumptions!$E$19*(Assumptions!$F$19+Assumptions!$G$19)*(1+Assumptions!$B$10)</f>
        <v/>
      </c>
      <c r="P7" s="3">
        <f>MAX(0,Customers!P7-Customers!O7)*Assumptions!$E$19*(Assumptions!$F$19+Assumptions!$G$19)*(1+Assumptions!$B$10)</f>
        <v/>
      </c>
      <c r="Q7" s="3">
        <f>MAX(0,Customers!Q7-Customers!P7)*Assumptions!$E$19*(Assumptions!$F$19+Assumptions!$G$19)*(1+Assumptions!$B$10)</f>
        <v/>
      </c>
      <c r="R7" s="3">
        <f>MAX(0,Customers!R7-Customers!Q7)*Assumptions!$E$19*(Assumptions!$F$19+Assumptions!$G$19)*(1+Assumptions!$B$10)</f>
        <v/>
      </c>
      <c r="S7" s="3">
        <f>MAX(0,Customers!S7-Customers!R7)*Assumptions!$E$19*(Assumptions!$F$19+Assumptions!$G$19)*(1+Assumptions!$B$10)</f>
        <v/>
      </c>
      <c r="T7" s="3">
        <f>MAX(0,Customers!T7-Customers!S7)*Assumptions!$E$19*(Assumptions!$F$19+Assumptions!$G$19)*(1+Assumptions!$B$10)</f>
        <v/>
      </c>
      <c r="U7" s="3">
        <f>MAX(0,Customers!U7-Customers!T7)*Assumptions!$E$19*(Assumptions!$F$19+Assumptions!$G$19)*(1+Assumptions!$B$10)</f>
        <v/>
      </c>
      <c r="V7" s="3">
        <f>MAX(0,Customers!V7-Customers!U7)*Assumptions!$E$19*(Assumptions!$F$19+Assumptions!$G$19)*(1+Assumptions!$B$10)</f>
        <v/>
      </c>
      <c r="W7" s="3">
        <f>MAX(0,Customers!W7-Customers!V7)*Assumptions!$E$19*(Assumptions!$F$19+Assumptions!$G$19)*(1+Assumptions!$B$10)</f>
        <v/>
      </c>
      <c r="X7" s="3">
        <f>MAX(0,Customers!X7-Customers!W7)*Assumptions!$E$19*(Assumptions!$F$19+Assumptions!$G$19)*(1+Assumptions!$B$10)</f>
        <v/>
      </c>
      <c r="Y7" s="3">
        <f>MAX(0,Customers!Y7-Customers!X7)*Assumptions!$E$19*(Assumptions!$F$19+Assumptions!$G$19)*(1+Assumptions!$B$10)</f>
        <v/>
      </c>
      <c r="Z7" s="3">
        <f>SUM(B7:M7)</f>
        <v/>
      </c>
      <c r="AA7" s="3">
        <f>SUM(N7:Y7)</f>
        <v/>
      </c>
      <c r="AB7" s="3">
        <f>Z7+AA7</f>
        <v/>
      </c>
    </row>
    <row r="8">
      <c r="A8" t="inlineStr">
        <is>
          <t>Armadietti a noleggio</t>
        </is>
      </c>
      <c r="B8" s="3">
        <f>Customers!B8*Assumptions!$E$20*(Assumptions!$F$20+Assumptions!$G$20)*(1+Assumptions!$B$10)</f>
        <v/>
      </c>
      <c r="C8" s="3">
        <f>MAX(0,Customers!C8-Customers!B8)*Assumptions!$E$20*(Assumptions!$F$20+Assumptions!$G$20)*(1+Assumptions!$B$10)</f>
        <v/>
      </c>
      <c r="D8" s="3">
        <f>MAX(0,Customers!D8-Customers!C8)*Assumptions!$E$20*(Assumptions!$F$20+Assumptions!$G$20)*(1+Assumptions!$B$10)</f>
        <v/>
      </c>
      <c r="E8" s="3">
        <f>MAX(0,Customers!E8-Customers!D8)*Assumptions!$E$20*(Assumptions!$F$20+Assumptions!$G$20)*(1+Assumptions!$B$10)</f>
        <v/>
      </c>
      <c r="F8" s="3">
        <f>MAX(0,Customers!F8-Customers!E8)*Assumptions!$E$20*(Assumptions!$F$20+Assumptions!$G$20)*(1+Assumptions!$B$10)</f>
        <v/>
      </c>
      <c r="G8" s="3">
        <f>MAX(0,Customers!G8-Customers!F8)*Assumptions!$E$20*(Assumptions!$F$20+Assumptions!$G$20)*(1+Assumptions!$B$10)</f>
        <v/>
      </c>
      <c r="H8" s="3">
        <f>MAX(0,Customers!H8-Customers!G8)*Assumptions!$E$20*(Assumptions!$F$20+Assumptions!$G$20)*(1+Assumptions!$B$10)</f>
        <v/>
      </c>
      <c r="I8" s="3">
        <f>MAX(0,Customers!I8-Customers!H8)*Assumptions!$E$20*(Assumptions!$F$20+Assumptions!$G$20)*(1+Assumptions!$B$10)</f>
        <v/>
      </c>
      <c r="J8" s="3">
        <f>MAX(0,Customers!J8-Customers!I8)*Assumptions!$E$20*(Assumptions!$F$20+Assumptions!$G$20)*(1+Assumptions!$B$10)</f>
        <v/>
      </c>
      <c r="K8" s="3">
        <f>MAX(0,Customers!K8-Customers!J8)*Assumptions!$E$20*(Assumptions!$F$20+Assumptions!$G$20)*(1+Assumptions!$B$10)</f>
        <v/>
      </c>
      <c r="L8" s="3">
        <f>MAX(0,Customers!L8-Customers!K8)*Assumptions!$E$20*(Assumptions!$F$20+Assumptions!$G$20)*(1+Assumptions!$B$10)</f>
        <v/>
      </c>
      <c r="M8" s="3">
        <f>MAX(0,Customers!M8-Customers!L8)*Assumptions!$E$20*(Assumptions!$F$20+Assumptions!$G$20)*(1+Assumptions!$B$10)</f>
        <v/>
      </c>
      <c r="N8" s="3">
        <f>MAX(0,Customers!N8-Customers!M8)*Assumptions!$E$20*(Assumptions!$F$20+Assumptions!$G$20)*(1+Assumptions!$B$10)</f>
        <v/>
      </c>
      <c r="O8" s="3">
        <f>MAX(0,Customers!O8-Customers!N8)*Assumptions!$E$20*(Assumptions!$F$20+Assumptions!$G$20)*(1+Assumptions!$B$10)</f>
        <v/>
      </c>
      <c r="P8" s="3">
        <f>MAX(0,Customers!P8-Customers!O8)*Assumptions!$E$20*(Assumptions!$F$20+Assumptions!$G$20)*(1+Assumptions!$B$10)</f>
        <v/>
      </c>
      <c r="Q8" s="3">
        <f>MAX(0,Customers!Q8-Customers!P8)*Assumptions!$E$20*(Assumptions!$F$20+Assumptions!$G$20)*(1+Assumptions!$B$10)</f>
        <v/>
      </c>
      <c r="R8" s="3">
        <f>MAX(0,Customers!R8-Customers!Q8)*Assumptions!$E$20*(Assumptions!$F$20+Assumptions!$G$20)*(1+Assumptions!$B$10)</f>
        <v/>
      </c>
      <c r="S8" s="3">
        <f>MAX(0,Customers!S8-Customers!R8)*Assumptions!$E$20*(Assumptions!$F$20+Assumptions!$G$20)*(1+Assumptions!$B$10)</f>
        <v/>
      </c>
      <c r="T8" s="3">
        <f>MAX(0,Customers!T8-Customers!S8)*Assumptions!$E$20*(Assumptions!$F$20+Assumptions!$G$20)*(1+Assumptions!$B$10)</f>
        <v/>
      </c>
      <c r="U8" s="3">
        <f>MAX(0,Customers!U8-Customers!T8)*Assumptions!$E$20*(Assumptions!$F$20+Assumptions!$G$20)*(1+Assumptions!$B$10)</f>
        <v/>
      </c>
      <c r="V8" s="3">
        <f>MAX(0,Customers!V8-Customers!U8)*Assumptions!$E$20*(Assumptions!$F$20+Assumptions!$G$20)*(1+Assumptions!$B$10)</f>
        <v/>
      </c>
      <c r="W8" s="3">
        <f>MAX(0,Customers!W8-Customers!V8)*Assumptions!$E$20*(Assumptions!$F$20+Assumptions!$G$20)*(1+Assumptions!$B$10)</f>
        <v/>
      </c>
      <c r="X8" s="3">
        <f>MAX(0,Customers!X8-Customers!W8)*Assumptions!$E$20*(Assumptions!$F$20+Assumptions!$G$20)*(1+Assumptions!$B$10)</f>
        <v/>
      </c>
      <c r="Y8" s="3">
        <f>MAX(0,Customers!Y8-Customers!X8)*Assumptions!$E$20*(Assumptions!$F$20+Assumptions!$G$20)*(1+Assumptions!$B$10)</f>
        <v/>
      </c>
      <c r="Z8" s="3">
        <f>SUM(B8:M8)</f>
        <v/>
      </c>
      <c r="AA8" s="3">
        <f>SUM(N8:Y8)</f>
        <v/>
      </c>
      <c r="AB8" s="3">
        <f>Z8+AA8</f>
        <v/>
      </c>
    </row>
    <row r="9">
      <c r="A9" t="inlineStr">
        <is>
          <t>Armadietti bagagli</t>
        </is>
      </c>
      <c r="B9" s="3">
        <f>Customers!B9*Assumptions!$E$21*(Assumptions!$F$21+Assumptions!$G$21)*(1+Assumptions!$B$10)</f>
        <v/>
      </c>
      <c r="C9" s="3">
        <f>MAX(0,Customers!C9-Customers!B9)*Assumptions!$E$21*(Assumptions!$F$21+Assumptions!$G$21)*(1+Assumptions!$B$10)</f>
        <v/>
      </c>
      <c r="D9" s="3">
        <f>MAX(0,Customers!D9-Customers!C9)*Assumptions!$E$21*(Assumptions!$F$21+Assumptions!$G$21)*(1+Assumptions!$B$10)</f>
        <v/>
      </c>
      <c r="E9" s="3">
        <f>MAX(0,Customers!E9-Customers!D9)*Assumptions!$E$21*(Assumptions!$F$21+Assumptions!$G$21)*(1+Assumptions!$B$10)</f>
        <v/>
      </c>
      <c r="F9" s="3">
        <f>MAX(0,Customers!F9-Customers!E9)*Assumptions!$E$21*(Assumptions!$F$21+Assumptions!$G$21)*(1+Assumptions!$B$10)</f>
        <v/>
      </c>
      <c r="G9" s="3">
        <f>MAX(0,Customers!G9-Customers!F9)*Assumptions!$E$21*(Assumptions!$F$21+Assumptions!$G$21)*(1+Assumptions!$B$10)</f>
        <v/>
      </c>
      <c r="H9" s="3">
        <f>MAX(0,Customers!H9-Customers!G9)*Assumptions!$E$21*(Assumptions!$F$21+Assumptions!$G$21)*(1+Assumptions!$B$10)</f>
        <v/>
      </c>
      <c r="I9" s="3">
        <f>MAX(0,Customers!I9-Customers!H9)*Assumptions!$E$21*(Assumptions!$F$21+Assumptions!$G$21)*(1+Assumptions!$B$10)</f>
        <v/>
      </c>
      <c r="J9" s="3">
        <f>MAX(0,Customers!J9-Customers!I9)*Assumptions!$E$21*(Assumptions!$F$21+Assumptions!$G$21)*(1+Assumptions!$B$10)</f>
        <v/>
      </c>
      <c r="K9" s="3">
        <f>MAX(0,Customers!K9-Customers!J9)*Assumptions!$E$21*(Assumptions!$F$21+Assumptions!$G$21)*(1+Assumptions!$B$10)</f>
        <v/>
      </c>
      <c r="L9" s="3">
        <f>MAX(0,Customers!L9-Customers!K9)*Assumptions!$E$21*(Assumptions!$F$21+Assumptions!$G$21)*(1+Assumptions!$B$10)</f>
        <v/>
      </c>
      <c r="M9" s="3">
        <f>MAX(0,Customers!M9-Customers!L9)*Assumptions!$E$21*(Assumptions!$F$21+Assumptions!$G$21)*(1+Assumptions!$B$10)</f>
        <v/>
      </c>
      <c r="N9" s="3">
        <f>MAX(0,Customers!N9-Customers!M9)*Assumptions!$E$21*(Assumptions!$F$21+Assumptions!$G$21)*(1+Assumptions!$B$10)</f>
        <v/>
      </c>
      <c r="O9" s="3">
        <f>MAX(0,Customers!O9-Customers!N9)*Assumptions!$E$21*(Assumptions!$F$21+Assumptions!$G$21)*(1+Assumptions!$B$10)</f>
        <v/>
      </c>
      <c r="P9" s="3">
        <f>MAX(0,Customers!P9-Customers!O9)*Assumptions!$E$21*(Assumptions!$F$21+Assumptions!$G$21)*(1+Assumptions!$B$10)</f>
        <v/>
      </c>
      <c r="Q9" s="3">
        <f>MAX(0,Customers!Q9-Customers!P9)*Assumptions!$E$21*(Assumptions!$F$21+Assumptions!$G$21)*(1+Assumptions!$B$10)</f>
        <v/>
      </c>
      <c r="R9" s="3">
        <f>MAX(0,Customers!R9-Customers!Q9)*Assumptions!$E$21*(Assumptions!$F$21+Assumptions!$G$21)*(1+Assumptions!$B$10)</f>
        <v/>
      </c>
      <c r="S9" s="3">
        <f>MAX(0,Customers!S9-Customers!R9)*Assumptions!$E$21*(Assumptions!$F$21+Assumptions!$G$21)*(1+Assumptions!$B$10)</f>
        <v/>
      </c>
      <c r="T9" s="3">
        <f>MAX(0,Customers!T9-Customers!S9)*Assumptions!$E$21*(Assumptions!$F$21+Assumptions!$G$21)*(1+Assumptions!$B$10)</f>
        <v/>
      </c>
      <c r="U9" s="3">
        <f>MAX(0,Customers!U9-Customers!T9)*Assumptions!$E$21*(Assumptions!$F$21+Assumptions!$G$21)*(1+Assumptions!$B$10)</f>
        <v/>
      </c>
      <c r="V9" s="3">
        <f>MAX(0,Customers!V9-Customers!U9)*Assumptions!$E$21*(Assumptions!$F$21+Assumptions!$G$21)*(1+Assumptions!$B$10)</f>
        <v/>
      </c>
      <c r="W9" s="3">
        <f>MAX(0,Customers!W9-Customers!V9)*Assumptions!$E$21*(Assumptions!$F$21+Assumptions!$G$21)*(1+Assumptions!$B$10)</f>
        <v/>
      </c>
      <c r="X9" s="3">
        <f>MAX(0,Customers!X9-Customers!W9)*Assumptions!$E$21*(Assumptions!$F$21+Assumptions!$G$21)*(1+Assumptions!$B$10)</f>
        <v/>
      </c>
      <c r="Y9" s="3">
        <f>MAX(0,Customers!Y9-Customers!X9)*Assumptions!$E$21*(Assumptions!$F$21+Assumptions!$G$21)*(1+Assumptions!$B$10)</f>
        <v/>
      </c>
      <c r="Z9" s="3">
        <f>SUM(B9:M9)</f>
        <v/>
      </c>
      <c r="AA9" s="3">
        <f>SUM(N9:Y9)</f>
        <v/>
      </c>
      <c r="AB9" s="3">
        <f>Z9+AA9</f>
        <v/>
      </c>
    </row>
    <row r="10">
      <c r="A10" t="inlineStr">
        <is>
          <t>Noleggio power bank</t>
        </is>
      </c>
      <c r="B10" s="3">
        <f>Customers!B10*Assumptions!$E$22*(Assumptions!$F$22+Assumptions!$G$22)*(1+Assumptions!$B$10)</f>
        <v/>
      </c>
      <c r="C10" s="3">
        <f>MAX(0,Customers!C10-Customers!B10)*Assumptions!$E$22*(Assumptions!$F$22+Assumptions!$G$22)*(1+Assumptions!$B$10)</f>
        <v/>
      </c>
      <c r="D10" s="3">
        <f>MAX(0,Customers!D10-Customers!C10)*Assumptions!$E$22*(Assumptions!$F$22+Assumptions!$G$22)*(1+Assumptions!$B$10)</f>
        <v/>
      </c>
      <c r="E10" s="3">
        <f>MAX(0,Customers!E10-Customers!D10)*Assumptions!$E$22*(Assumptions!$F$22+Assumptions!$G$22)*(1+Assumptions!$B$10)</f>
        <v/>
      </c>
      <c r="F10" s="3">
        <f>MAX(0,Customers!F10-Customers!E10)*Assumptions!$E$22*(Assumptions!$F$22+Assumptions!$G$22)*(1+Assumptions!$B$10)</f>
        <v/>
      </c>
      <c r="G10" s="3">
        <f>MAX(0,Customers!G10-Customers!F10)*Assumptions!$E$22*(Assumptions!$F$22+Assumptions!$G$22)*(1+Assumptions!$B$10)</f>
        <v/>
      </c>
      <c r="H10" s="3">
        <f>MAX(0,Customers!H10-Customers!G10)*Assumptions!$E$22*(Assumptions!$F$22+Assumptions!$G$22)*(1+Assumptions!$B$10)</f>
        <v/>
      </c>
      <c r="I10" s="3">
        <f>MAX(0,Customers!I10-Customers!H10)*Assumptions!$E$22*(Assumptions!$F$22+Assumptions!$G$22)*(1+Assumptions!$B$10)</f>
        <v/>
      </c>
      <c r="J10" s="3">
        <f>MAX(0,Customers!J10-Customers!I10)*Assumptions!$E$22*(Assumptions!$F$22+Assumptions!$G$22)*(1+Assumptions!$B$10)</f>
        <v/>
      </c>
      <c r="K10" s="3">
        <f>MAX(0,Customers!K10-Customers!J10)*Assumptions!$E$22*(Assumptions!$F$22+Assumptions!$G$22)*(1+Assumptions!$B$10)</f>
        <v/>
      </c>
      <c r="L10" s="3">
        <f>MAX(0,Customers!L10-Customers!K10)*Assumptions!$E$22*(Assumptions!$F$22+Assumptions!$G$22)*(1+Assumptions!$B$10)</f>
        <v/>
      </c>
      <c r="M10" s="3">
        <f>MAX(0,Customers!M10-Customers!L10)*Assumptions!$E$22*(Assumptions!$F$22+Assumptions!$G$22)*(1+Assumptions!$B$10)</f>
        <v/>
      </c>
      <c r="N10" s="3">
        <f>MAX(0,Customers!N10-Customers!M10)*Assumptions!$E$22*(Assumptions!$F$22+Assumptions!$G$22)*(1+Assumptions!$B$10)</f>
        <v/>
      </c>
      <c r="O10" s="3">
        <f>MAX(0,Customers!O10-Customers!N10)*Assumptions!$E$22*(Assumptions!$F$22+Assumptions!$G$22)*(1+Assumptions!$B$10)</f>
        <v/>
      </c>
      <c r="P10" s="3">
        <f>MAX(0,Customers!P10-Customers!O10)*Assumptions!$E$22*(Assumptions!$F$22+Assumptions!$G$22)*(1+Assumptions!$B$10)</f>
        <v/>
      </c>
      <c r="Q10" s="3">
        <f>MAX(0,Customers!Q10-Customers!P10)*Assumptions!$E$22*(Assumptions!$F$22+Assumptions!$G$22)*(1+Assumptions!$B$10)</f>
        <v/>
      </c>
      <c r="R10" s="3">
        <f>MAX(0,Customers!R10-Customers!Q10)*Assumptions!$E$22*(Assumptions!$F$22+Assumptions!$G$22)*(1+Assumptions!$B$10)</f>
        <v/>
      </c>
      <c r="S10" s="3">
        <f>MAX(0,Customers!S10-Customers!R10)*Assumptions!$E$22*(Assumptions!$F$22+Assumptions!$G$22)*(1+Assumptions!$B$10)</f>
        <v/>
      </c>
      <c r="T10" s="3">
        <f>MAX(0,Customers!T10-Customers!S10)*Assumptions!$E$22*(Assumptions!$F$22+Assumptions!$G$22)*(1+Assumptions!$B$10)</f>
        <v/>
      </c>
      <c r="U10" s="3">
        <f>MAX(0,Customers!U10-Customers!T10)*Assumptions!$E$22*(Assumptions!$F$22+Assumptions!$G$22)*(1+Assumptions!$B$10)</f>
        <v/>
      </c>
      <c r="V10" s="3">
        <f>MAX(0,Customers!V10-Customers!U10)*Assumptions!$E$22*(Assumptions!$F$22+Assumptions!$G$22)*(1+Assumptions!$B$10)</f>
        <v/>
      </c>
      <c r="W10" s="3">
        <f>MAX(0,Customers!W10-Customers!V10)*Assumptions!$E$22*(Assumptions!$F$22+Assumptions!$G$22)*(1+Assumptions!$B$10)</f>
        <v/>
      </c>
      <c r="X10" s="3">
        <f>MAX(0,Customers!X10-Customers!W10)*Assumptions!$E$22*(Assumptions!$F$22+Assumptions!$G$22)*(1+Assumptions!$B$10)</f>
        <v/>
      </c>
      <c r="Y10" s="3">
        <f>MAX(0,Customers!Y10-Customers!X10)*Assumptions!$E$22*(Assumptions!$F$22+Assumptions!$G$22)*(1+Assumptions!$B$10)</f>
        <v/>
      </c>
      <c r="Z10" s="3">
        <f>SUM(B10:M10)</f>
        <v/>
      </c>
      <c r="AA10" s="3">
        <f>SUM(N10:Y10)</f>
        <v/>
      </c>
      <c r="AB10" s="3">
        <f>Z10+AA10</f>
        <v/>
      </c>
    </row>
    <row r="11">
      <c r="A11" t="inlineStr">
        <is>
          <t>Kit IoT Energia</t>
        </is>
      </c>
      <c r="B11" s="3">
        <f>Customers!B11*Assumptions!$E$23*(Assumptions!$F$23+Assumptions!$G$23)*(1+Assumptions!$B$10)</f>
        <v/>
      </c>
      <c r="C11" s="3">
        <f>MAX(0,Customers!C11-Customers!B11)*Assumptions!$E$23*(Assumptions!$F$23+Assumptions!$G$23)*(1+Assumptions!$B$10)</f>
        <v/>
      </c>
      <c r="D11" s="3">
        <f>MAX(0,Customers!D11-Customers!C11)*Assumptions!$E$23*(Assumptions!$F$23+Assumptions!$G$23)*(1+Assumptions!$B$10)</f>
        <v/>
      </c>
      <c r="E11" s="3">
        <f>MAX(0,Customers!E11-Customers!D11)*Assumptions!$E$23*(Assumptions!$F$23+Assumptions!$G$23)*(1+Assumptions!$B$10)</f>
        <v/>
      </c>
      <c r="F11" s="3">
        <f>MAX(0,Customers!F11-Customers!E11)*Assumptions!$E$23*(Assumptions!$F$23+Assumptions!$G$23)*(1+Assumptions!$B$10)</f>
        <v/>
      </c>
      <c r="G11" s="3">
        <f>MAX(0,Customers!G11-Customers!F11)*Assumptions!$E$23*(Assumptions!$F$23+Assumptions!$G$23)*(1+Assumptions!$B$10)</f>
        <v/>
      </c>
      <c r="H11" s="3">
        <f>MAX(0,Customers!H11-Customers!G11)*Assumptions!$E$23*(Assumptions!$F$23+Assumptions!$G$23)*(1+Assumptions!$B$10)</f>
        <v/>
      </c>
      <c r="I11" s="3">
        <f>MAX(0,Customers!I11-Customers!H11)*Assumptions!$E$23*(Assumptions!$F$23+Assumptions!$G$23)*(1+Assumptions!$B$10)</f>
        <v/>
      </c>
      <c r="J11" s="3">
        <f>MAX(0,Customers!J11-Customers!I11)*Assumptions!$E$23*(Assumptions!$F$23+Assumptions!$G$23)*(1+Assumptions!$B$10)</f>
        <v/>
      </c>
      <c r="K11" s="3">
        <f>MAX(0,Customers!K11-Customers!J11)*Assumptions!$E$23*(Assumptions!$F$23+Assumptions!$G$23)*(1+Assumptions!$B$10)</f>
        <v/>
      </c>
      <c r="L11" s="3">
        <f>MAX(0,Customers!L11-Customers!K11)*Assumptions!$E$23*(Assumptions!$F$23+Assumptions!$G$23)*(1+Assumptions!$B$10)</f>
        <v/>
      </c>
      <c r="M11" s="3">
        <f>MAX(0,Customers!M11-Customers!L11)*Assumptions!$E$23*(Assumptions!$F$23+Assumptions!$G$23)*(1+Assumptions!$B$10)</f>
        <v/>
      </c>
      <c r="N11" s="3">
        <f>MAX(0,Customers!N11-Customers!M11)*Assumptions!$E$23*(Assumptions!$F$23+Assumptions!$G$23)*(1+Assumptions!$B$10)</f>
        <v/>
      </c>
      <c r="O11" s="3">
        <f>MAX(0,Customers!O11-Customers!N11)*Assumptions!$E$23*(Assumptions!$F$23+Assumptions!$G$23)*(1+Assumptions!$B$10)</f>
        <v/>
      </c>
      <c r="P11" s="3">
        <f>MAX(0,Customers!P11-Customers!O11)*Assumptions!$E$23*(Assumptions!$F$23+Assumptions!$G$23)*(1+Assumptions!$B$10)</f>
        <v/>
      </c>
      <c r="Q11" s="3">
        <f>MAX(0,Customers!Q11-Customers!P11)*Assumptions!$E$23*(Assumptions!$F$23+Assumptions!$G$23)*(1+Assumptions!$B$10)</f>
        <v/>
      </c>
      <c r="R11" s="3">
        <f>MAX(0,Customers!R11-Customers!Q11)*Assumptions!$E$23*(Assumptions!$F$23+Assumptions!$G$23)*(1+Assumptions!$B$10)</f>
        <v/>
      </c>
      <c r="S11" s="3">
        <f>MAX(0,Customers!S11-Customers!R11)*Assumptions!$E$23*(Assumptions!$F$23+Assumptions!$G$23)*(1+Assumptions!$B$10)</f>
        <v/>
      </c>
      <c r="T11" s="3">
        <f>MAX(0,Customers!T11-Customers!S11)*Assumptions!$E$23*(Assumptions!$F$23+Assumptions!$G$23)*(1+Assumptions!$B$10)</f>
        <v/>
      </c>
      <c r="U11" s="3">
        <f>MAX(0,Customers!U11-Customers!T11)*Assumptions!$E$23*(Assumptions!$F$23+Assumptions!$G$23)*(1+Assumptions!$B$10)</f>
        <v/>
      </c>
      <c r="V11" s="3">
        <f>MAX(0,Customers!V11-Customers!U11)*Assumptions!$E$23*(Assumptions!$F$23+Assumptions!$G$23)*(1+Assumptions!$B$10)</f>
        <v/>
      </c>
      <c r="W11" s="3">
        <f>MAX(0,Customers!W11-Customers!V11)*Assumptions!$E$23*(Assumptions!$F$23+Assumptions!$G$23)*(1+Assumptions!$B$10)</f>
        <v/>
      </c>
      <c r="X11" s="3">
        <f>MAX(0,Customers!X11-Customers!W11)*Assumptions!$E$23*(Assumptions!$F$23+Assumptions!$G$23)*(1+Assumptions!$B$10)</f>
        <v/>
      </c>
      <c r="Y11" s="3">
        <f>MAX(0,Customers!Y11-Customers!X11)*Assumptions!$E$23*(Assumptions!$F$23+Assumptions!$G$23)*(1+Assumptions!$B$10)</f>
        <v/>
      </c>
      <c r="Z11" s="3">
        <f>SUM(B11:M11)</f>
        <v/>
      </c>
      <c r="AA11" s="3">
        <f>SUM(N11:Y11)</f>
        <v/>
      </c>
      <c r="AB11" s="3">
        <f>Z11+AA11</f>
        <v/>
      </c>
    </row>
    <row r="12">
      <c r="A12" t="inlineStr">
        <is>
          <t>Healthy Room IoT (qualità aria)</t>
        </is>
      </c>
      <c r="B12" s="3">
        <f>Customers!B12*Assumptions!$E$24*(Assumptions!$F$24+Assumptions!$G$24)*(1+Assumptions!$B$10)</f>
        <v/>
      </c>
      <c r="C12" s="3">
        <f>MAX(0,Customers!C12-Customers!B12)*Assumptions!$E$24*(Assumptions!$F$24+Assumptions!$G$24)*(1+Assumptions!$B$10)</f>
        <v/>
      </c>
      <c r="D12" s="3">
        <f>MAX(0,Customers!D12-Customers!C12)*Assumptions!$E$24*(Assumptions!$F$24+Assumptions!$G$24)*(1+Assumptions!$B$10)</f>
        <v/>
      </c>
      <c r="E12" s="3">
        <f>MAX(0,Customers!E12-Customers!D12)*Assumptions!$E$24*(Assumptions!$F$24+Assumptions!$G$24)*(1+Assumptions!$B$10)</f>
        <v/>
      </c>
      <c r="F12" s="3">
        <f>MAX(0,Customers!F12-Customers!E12)*Assumptions!$E$24*(Assumptions!$F$24+Assumptions!$G$24)*(1+Assumptions!$B$10)</f>
        <v/>
      </c>
      <c r="G12" s="3">
        <f>MAX(0,Customers!G12-Customers!F12)*Assumptions!$E$24*(Assumptions!$F$24+Assumptions!$G$24)*(1+Assumptions!$B$10)</f>
        <v/>
      </c>
      <c r="H12" s="3">
        <f>MAX(0,Customers!H12-Customers!G12)*Assumptions!$E$24*(Assumptions!$F$24+Assumptions!$G$24)*(1+Assumptions!$B$10)</f>
        <v/>
      </c>
      <c r="I12" s="3">
        <f>MAX(0,Customers!I12-Customers!H12)*Assumptions!$E$24*(Assumptions!$F$24+Assumptions!$G$24)*(1+Assumptions!$B$10)</f>
        <v/>
      </c>
      <c r="J12" s="3">
        <f>MAX(0,Customers!J12-Customers!I12)*Assumptions!$E$24*(Assumptions!$F$24+Assumptions!$G$24)*(1+Assumptions!$B$10)</f>
        <v/>
      </c>
      <c r="K12" s="3">
        <f>MAX(0,Customers!K12-Customers!J12)*Assumptions!$E$24*(Assumptions!$F$24+Assumptions!$G$24)*(1+Assumptions!$B$10)</f>
        <v/>
      </c>
      <c r="L12" s="3">
        <f>MAX(0,Customers!L12-Customers!K12)*Assumptions!$E$24*(Assumptions!$F$24+Assumptions!$G$24)*(1+Assumptions!$B$10)</f>
        <v/>
      </c>
      <c r="M12" s="3">
        <f>MAX(0,Customers!M12-Customers!L12)*Assumptions!$E$24*(Assumptions!$F$24+Assumptions!$G$24)*(1+Assumptions!$B$10)</f>
        <v/>
      </c>
      <c r="N12" s="3">
        <f>MAX(0,Customers!N12-Customers!M12)*Assumptions!$E$24*(Assumptions!$F$24+Assumptions!$G$24)*(1+Assumptions!$B$10)</f>
        <v/>
      </c>
      <c r="O12" s="3">
        <f>MAX(0,Customers!O12-Customers!N12)*Assumptions!$E$24*(Assumptions!$F$24+Assumptions!$G$24)*(1+Assumptions!$B$10)</f>
        <v/>
      </c>
      <c r="P12" s="3">
        <f>MAX(0,Customers!P12-Customers!O12)*Assumptions!$E$24*(Assumptions!$F$24+Assumptions!$G$24)*(1+Assumptions!$B$10)</f>
        <v/>
      </c>
      <c r="Q12" s="3">
        <f>MAX(0,Customers!Q12-Customers!P12)*Assumptions!$E$24*(Assumptions!$F$24+Assumptions!$G$24)*(1+Assumptions!$B$10)</f>
        <v/>
      </c>
      <c r="R12" s="3">
        <f>MAX(0,Customers!R12-Customers!Q12)*Assumptions!$E$24*(Assumptions!$F$24+Assumptions!$G$24)*(1+Assumptions!$B$10)</f>
        <v/>
      </c>
      <c r="S12" s="3">
        <f>MAX(0,Customers!S12-Customers!R12)*Assumptions!$E$24*(Assumptions!$F$24+Assumptions!$G$24)*(1+Assumptions!$B$10)</f>
        <v/>
      </c>
      <c r="T12" s="3">
        <f>MAX(0,Customers!T12-Customers!S12)*Assumptions!$E$24*(Assumptions!$F$24+Assumptions!$G$24)*(1+Assumptions!$B$10)</f>
        <v/>
      </c>
      <c r="U12" s="3">
        <f>MAX(0,Customers!U12-Customers!T12)*Assumptions!$E$24*(Assumptions!$F$24+Assumptions!$G$24)*(1+Assumptions!$B$10)</f>
        <v/>
      </c>
      <c r="V12" s="3">
        <f>MAX(0,Customers!V12-Customers!U12)*Assumptions!$E$24*(Assumptions!$F$24+Assumptions!$G$24)*(1+Assumptions!$B$10)</f>
        <v/>
      </c>
      <c r="W12" s="3">
        <f>MAX(0,Customers!W12-Customers!V12)*Assumptions!$E$24*(Assumptions!$F$24+Assumptions!$G$24)*(1+Assumptions!$B$10)</f>
        <v/>
      </c>
      <c r="X12" s="3">
        <f>MAX(0,Customers!X12-Customers!W12)*Assumptions!$E$24*(Assumptions!$F$24+Assumptions!$G$24)*(1+Assumptions!$B$10)</f>
        <v/>
      </c>
      <c r="Y12" s="3">
        <f>MAX(0,Customers!Y12-Customers!X12)*Assumptions!$E$24*(Assumptions!$F$24+Assumptions!$G$24)*(1+Assumptions!$B$10)</f>
        <v/>
      </c>
      <c r="Z12" s="3">
        <f>SUM(B12:M12)</f>
        <v/>
      </c>
      <c r="AA12" s="3">
        <f>SUM(N12:Y12)</f>
        <v/>
      </c>
      <c r="AB12" s="3">
        <f>Z12+AA12</f>
        <v/>
      </c>
    </row>
    <row r="13">
      <c r="A13" t="inlineStr">
        <is>
          <t>Marketplace locale (tour, transfer, eSIM)</t>
        </is>
      </c>
      <c r="B13" s="3">
        <f>Customers!B13*Assumptions!$E$25*(Assumptions!$F$25+Assumptions!$G$25)*(1+Assumptions!$B$10)</f>
        <v/>
      </c>
      <c r="C13" s="3">
        <f>MAX(0,Customers!C13-Customers!B13)*Assumptions!$E$25*(Assumptions!$F$25+Assumptions!$G$25)*(1+Assumptions!$B$10)</f>
        <v/>
      </c>
      <c r="D13" s="3">
        <f>MAX(0,Customers!D13-Customers!C13)*Assumptions!$E$25*(Assumptions!$F$25+Assumptions!$G$25)*(1+Assumptions!$B$10)</f>
        <v/>
      </c>
      <c r="E13" s="3">
        <f>MAX(0,Customers!E13-Customers!D13)*Assumptions!$E$25*(Assumptions!$F$25+Assumptions!$G$25)*(1+Assumptions!$B$10)</f>
        <v/>
      </c>
      <c r="F13" s="3">
        <f>MAX(0,Customers!F13-Customers!E13)*Assumptions!$E$25*(Assumptions!$F$25+Assumptions!$G$25)*(1+Assumptions!$B$10)</f>
        <v/>
      </c>
      <c r="G13" s="3">
        <f>MAX(0,Customers!G13-Customers!F13)*Assumptions!$E$25*(Assumptions!$F$25+Assumptions!$G$25)*(1+Assumptions!$B$10)</f>
        <v/>
      </c>
      <c r="H13" s="3">
        <f>MAX(0,Customers!H13-Customers!G13)*Assumptions!$E$25*(Assumptions!$F$25+Assumptions!$G$25)*(1+Assumptions!$B$10)</f>
        <v/>
      </c>
      <c r="I13" s="3">
        <f>MAX(0,Customers!I13-Customers!H13)*Assumptions!$E$25*(Assumptions!$F$25+Assumptions!$G$25)*(1+Assumptions!$B$10)</f>
        <v/>
      </c>
      <c r="J13" s="3">
        <f>MAX(0,Customers!J13-Customers!I13)*Assumptions!$E$25*(Assumptions!$F$25+Assumptions!$G$25)*(1+Assumptions!$B$10)</f>
        <v/>
      </c>
      <c r="K13" s="3">
        <f>MAX(0,Customers!K13-Customers!J13)*Assumptions!$E$25*(Assumptions!$F$25+Assumptions!$G$25)*(1+Assumptions!$B$10)</f>
        <v/>
      </c>
      <c r="L13" s="3">
        <f>MAX(0,Customers!L13-Customers!K13)*Assumptions!$E$25*(Assumptions!$F$25+Assumptions!$G$25)*(1+Assumptions!$B$10)</f>
        <v/>
      </c>
      <c r="M13" s="3">
        <f>MAX(0,Customers!M13-Customers!L13)*Assumptions!$E$25*(Assumptions!$F$25+Assumptions!$G$25)*(1+Assumptions!$B$10)</f>
        <v/>
      </c>
      <c r="N13" s="3">
        <f>MAX(0,Customers!N13-Customers!M13)*Assumptions!$E$25*(Assumptions!$F$25+Assumptions!$G$25)*(1+Assumptions!$B$10)</f>
        <v/>
      </c>
      <c r="O13" s="3">
        <f>MAX(0,Customers!O13-Customers!N13)*Assumptions!$E$25*(Assumptions!$F$25+Assumptions!$G$25)*(1+Assumptions!$B$10)</f>
        <v/>
      </c>
      <c r="P13" s="3">
        <f>MAX(0,Customers!P13-Customers!O13)*Assumptions!$E$25*(Assumptions!$F$25+Assumptions!$G$25)*(1+Assumptions!$B$10)</f>
        <v/>
      </c>
      <c r="Q13" s="3">
        <f>MAX(0,Customers!Q13-Customers!P13)*Assumptions!$E$25*(Assumptions!$F$25+Assumptions!$G$25)*(1+Assumptions!$B$10)</f>
        <v/>
      </c>
      <c r="R13" s="3">
        <f>MAX(0,Customers!R13-Customers!Q13)*Assumptions!$E$25*(Assumptions!$F$25+Assumptions!$G$25)*(1+Assumptions!$B$10)</f>
        <v/>
      </c>
      <c r="S13" s="3">
        <f>MAX(0,Customers!S13-Customers!R13)*Assumptions!$E$25*(Assumptions!$F$25+Assumptions!$G$25)*(1+Assumptions!$B$10)</f>
        <v/>
      </c>
      <c r="T13" s="3">
        <f>MAX(0,Customers!T13-Customers!S13)*Assumptions!$E$25*(Assumptions!$F$25+Assumptions!$G$25)*(1+Assumptions!$B$10)</f>
        <v/>
      </c>
      <c r="U13" s="3">
        <f>MAX(0,Customers!U13-Customers!T13)*Assumptions!$E$25*(Assumptions!$F$25+Assumptions!$G$25)*(1+Assumptions!$B$10)</f>
        <v/>
      </c>
      <c r="V13" s="3">
        <f>MAX(0,Customers!V13-Customers!U13)*Assumptions!$E$25*(Assumptions!$F$25+Assumptions!$G$25)*(1+Assumptions!$B$10)</f>
        <v/>
      </c>
      <c r="W13" s="3">
        <f>MAX(0,Customers!W13-Customers!V13)*Assumptions!$E$25*(Assumptions!$F$25+Assumptions!$G$25)*(1+Assumptions!$B$10)</f>
        <v/>
      </c>
      <c r="X13" s="3">
        <f>MAX(0,Customers!X13-Customers!W13)*Assumptions!$E$25*(Assumptions!$F$25+Assumptions!$G$25)*(1+Assumptions!$B$10)</f>
        <v/>
      </c>
      <c r="Y13" s="3">
        <f>MAX(0,Customers!Y13-Customers!X13)*Assumptions!$E$25*(Assumptions!$F$25+Assumptions!$G$25)*(1+Assumptions!$B$10)</f>
        <v/>
      </c>
      <c r="Z13" s="3">
        <f>SUM(B13:M13)</f>
        <v/>
      </c>
      <c r="AA13" s="3">
        <f>SUM(N13:Y13)</f>
        <v/>
      </c>
      <c r="AB13" s="3">
        <f>Z13+AA13</f>
        <v/>
      </c>
    </row>
    <row r="14">
      <c r="A14" t="inlineStr">
        <is>
          <t>Vending regolamentato tramite partner autorizzato (opzione, OFF nel base)</t>
        </is>
      </c>
      <c r="B14" s="3">
        <f>Customers!B14*Assumptions!$E$26*(Assumptions!$F$26+Assumptions!$G$26)*(1+Assumptions!$B$10)</f>
        <v/>
      </c>
      <c r="C14" s="3">
        <f>MAX(0,Customers!C14-Customers!B14)*Assumptions!$E$26*(Assumptions!$F$26+Assumptions!$G$26)*(1+Assumptions!$B$10)</f>
        <v/>
      </c>
      <c r="D14" s="3">
        <f>MAX(0,Customers!D14-Customers!C14)*Assumptions!$E$26*(Assumptions!$F$26+Assumptions!$G$26)*(1+Assumptions!$B$10)</f>
        <v/>
      </c>
      <c r="E14" s="3">
        <f>MAX(0,Customers!E14-Customers!D14)*Assumptions!$E$26*(Assumptions!$F$26+Assumptions!$G$26)*(1+Assumptions!$B$10)</f>
        <v/>
      </c>
      <c r="F14" s="3">
        <f>MAX(0,Customers!F14-Customers!E14)*Assumptions!$E$26*(Assumptions!$F$26+Assumptions!$G$26)*(1+Assumptions!$B$10)</f>
        <v/>
      </c>
      <c r="G14" s="3">
        <f>MAX(0,Customers!G14-Customers!F14)*Assumptions!$E$26*(Assumptions!$F$26+Assumptions!$G$26)*(1+Assumptions!$B$10)</f>
        <v/>
      </c>
      <c r="H14" s="3">
        <f>MAX(0,Customers!H14-Customers!G14)*Assumptions!$E$26*(Assumptions!$F$26+Assumptions!$G$26)*(1+Assumptions!$B$10)</f>
        <v/>
      </c>
      <c r="I14" s="3">
        <f>MAX(0,Customers!I14-Customers!H14)*Assumptions!$E$26*(Assumptions!$F$26+Assumptions!$G$26)*(1+Assumptions!$B$10)</f>
        <v/>
      </c>
      <c r="J14" s="3">
        <f>MAX(0,Customers!J14-Customers!I14)*Assumptions!$E$26*(Assumptions!$F$26+Assumptions!$G$26)*(1+Assumptions!$B$10)</f>
        <v/>
      </c>
      <c r="K14" s="3">
        <f>MAX(0,Customers!K14-Customers!J14)*Assumptions!$E$26*(Assumptions!$F$26+Assumptions!$G$26)*(1+Assumptions!$B$10)</f>
        <v/>
      </c>
      <c r="L14" s="3">
        <f>MAX(0,Customers!L14-Customers!K14)*Assumptions!$E$26*(Assumptions!$F$26+Assumptions!$G$26)*(1+Assumptions!$B$10)</f>
        <v/>
      </c>
      <c r="M14" s="3">
        <f>MAX(0,Customers!M14-Customers!L14)*Assumptions!$E$26*(Assumptions!$F$26+Assumptions!$G$26)*(1+Assumptions!$B$10)</f>
        <v/>
      </c>
      <c r="N14" s="3">
        <f>MAX(0,Customers!N14-Customers!M14)*Assumptions!$E$26*(Assumptions!$F$26+Assumptions!$G$26)*(1+Assumptions!$B$10)</f>
        <v/>
      </c>
      <c r="O14" s="3">
        <f>MAX(0,Customers!O14-Customers!N14)*Assumptions!$E$26*(Assumptions!$F$26+Assumptions!$G$26)*(1+Assumptions!$B$10)</f>
        <v/>
      </c>
      <c r="P14" s="3">
        <f>MAX(0,Customers!P14-Customers!O14)*Assumptions!$E$26*(Assumptions!$F$26+Assumptions!$G$26)*(1+Assumptions!$B$10)</f>
        <v/>
      </c>
      <c r="Q14" s="3">
        <f>MAX(0,Customers!Q14-Customers!P14)*Assumptions!$E$26*(Assumptions!$F$26+Assumptions!$G$26)*(1+Assumptions!$B$10)</f>
        <v/>
      </c>
      <c r="R14" s="3">
        <f>MAX(0,Customers!R14-Customers!Q14)*Assumptions!$E$26*(Assumptions!$F$26+Assumptions!$G$26)*(1+Assumptions!$B$10)</f>
        <v/>
      </c>
      <c r="S14" s="3">
        <f>MAX(0,Customers!S14-Customers!R14)*Assumptions!$E$26*(Assumptions!$F$26+Assumptions!$G$26)*(1+Assumptions!$B$10)</f>
        <v/>
      </c>
      <c r="T14" s="3">
        <f>MAX(0,Customers!T14-Customers!S14)*Assumptions!$E$26*(Assumptions!$F$26+Assumptions!$G$26)*(1+Assumptions!$B$10)</f>
        <v/>
      </c>
      <c r="U14" s="3">
        <f>MAX(0,Customers!U14-Customers!T14)*Assumptions!$E$26*(Assumptions!$F$26+Assumptions!$G$26)*(1+Assumptions!$B$10)</f>
        <v/>
      </c>
      <c r="V14" s="3">
        <f>MAX(0,Customers!V14-Customers!U14)*Assumptions!$E$26*(Assumptions!$F$26+Assumptions!$G$26)*(1+Assumptions!$B$10)</f>
        <v/>
      </c>
      <c r="W14" s="3">
        <f>MAX(0,Customers!W14-Customers!V14)*Assumptions!$E$26*(Assumptions!$F$26+Assumptions!$G$26)*(1+Assumptions!$B$10)</f>
        <v/>
      </c>
      <c r="X14" s="3">
        <f>MAX(0,Customers!X14-Customers!W14)*Assumptions!$E$26*(Assumptions!$F$26+Assumptions!$G$26)*(1+Assumptions!$B$10)</f>
        <v/>
      </c>
      <c r="Y14" s="3">
        <f>MAX(0,Customers!Y14-Customers!X14)*Assumptions!$E$26*(Assumptions!$F$26+Assumptions!$G$26)*(1+Assumptions!$B$10)</f>
        <v/>
      </c>
      <c r="Z14" s="3">
        <f>SUM(B14:M14)</f>
        <v/>
      </c>
      <c r="AA14" s="3">
        <f>SUM(N14:Y14)</f>
        <v/>
      </c>
      <c r="AB14" s="3">
        <f>Z14+AA14</f>
        <v/>
      </c>
    </row>
    <row r="15">
      <c r="A15" t="inlineStr">
        <is>
          <t>24 mesi</t>
        </is>
      </c>
      <c r="B15" s="3">
        <f>SUM(B4:B14)</f>
        <v/>
      </c>
      <c r="C15" s="3">
        <f>SUM(C4:C14)</f>
        <v/>
      </c>
      <c r="D15" s="3">
        <f>SUM(D4:D14)</f>
        <v/>
      </c>
      <c r="E15" s="3">
        <f>SUM(E4:E14)</f>
        <v/>
      </c>
      <c r="F15" s="3">
        <f>SUM(F4:F14)</f>
        <v/>
      </c>
      <c r="G15" s="3">
        <f>SUM(G4:G14)</f>
        <v/>
      </c>
      <c r="H15" s="3">
        <f>SUM(H4:H14)</f>
        <v/>
      </c>
      <c r="I15" s="3">
        <f>SUM(I4:I14)</f>
        <v/>
      </c>
      <c r="J15" s="3">
        <f>SUM(J4:J14)</f>
        <v/>
      </c>
      <c r="K15" s="3">
        <f>SUM(K4:K14)</f>
        <v/>
      </c>
      <c r="L15" s="3">
        <f>SUM(L4:L14)</f>
        <v/>
      </c>
      <c r="M15" s="3">
        <f>SUM(M4:M14)</f>
        <v/>
      </c>
      <c r="N15" s="3">
        <f>SUM(N4:N14)</f>
        <v/>
      </c>
      <c r="O15" s="3">
        <f>SUM(O4:O14)</f>
        <v/>
      </c>
      <c r="P15" s="3">
        <f>SUM(P4:P14)</f>
        <v/>
      </c>
      <c r="Q15" s="3">
        <f>SUM(Q4:Q14)</f>
        <v/>
      </c>
      <c r="R15" s="3">
        <f>SUM(R4:R14)</f>
        <v/>
      </c>
      <c r="S15" s="3">
        <f>SUM(S4:S14)</f>
        <v/>
      </c>
      <c r="T15" s="3">
        <f>SUM(T4:T14)</f>
        <v/>
      </c>
      <c r="U15" s="3">
        <f>SUM(U4:U14)</f>
        <v/>
      </c>
      <c r="V15" s="3">
        <f>SUM(V4:V14)</f>
        <v/>
      </c>
      <c r="W15" s="3">
        <f>SUM(W4:W14)</f>
        <v/>
      </c>
      <c r="X15" s="3">
        <f>SUM(X4:X14)</f>
        <v/>
      </c>
      <c r="Y15" s="3">
        <f>SUM(Y4:Y14)</f>
        <v/>
      </c>
      <c r="Z15" s="3">
        <f>SUM(B15:M15)</f>
        <v/>
      </c>
      <c r="AA15" s="3">
        <f>SUM(N15:Y15)</f>
        <v/>
      </c>
      <c r="AB15" s="3">
        <f>Z15+AA15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EUR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n">
        <v>13</v>
      </c>
      <c r="O3" s="2" t="n">
        <v>14</v>
      </c>
      <c r="P3" s="2" t="n">
        <v>15</v>
      </c>
      <c r="Q3" s="2" t="n">
        <v>16</v>
      </c>
      <c r="R3" s="2" t="n">
        <v>17</v>
      </c>
      <c r="S3" s="2" t="n">
        <v>18</v>
      </c>
      <c r="T3" s="2" t="n">
        <v>19</v>
      </c>
      <c r="U3" s="2" t="n">
        <v>20</v>
      </c>
      <c r="V3" s="2" t="n">
        <v>21</v>
      </c>
      <c r="W3" s="2" t="n">
        <v>22</v>
      </c>
      <c r="X3" s="2" t="n">
        <v>23</v>
      </c>
      <c r="Y3" s="2" t="n">
        <v>24</v>
      </c>
      <c r="Z3" s="12" t="inlineStr">
        <is>
          <t>Anno 1</t>
        </is>
      </c>
      <c r="AA3" s="12" t="inlineStr">
        <is>
          <t>Anno 2</t>
        </is>
      </c>
      <c r="AB3" s="12" t="inlineStr">
        <is>
          <t>24 mesi</t>
        </is>
      </c>
    </row>
    <row r="4">
      <c r="A4" t="inlineStr">
        <is>
          <t>Ricavi ricorrenti</t>
        </is>
      </c>
      <c r="B4" s="3">
        <f>Revenue!B15</f>
        <v/>
      </c>
      <c r="C4" s="3">
        <f>Revenue!C15</f>
        <v/>
      </c>
      <c r="D4" s="3">
        <f>Revenue!D15</f>
        <v/>
      </c>
      <c r="E4" s="3">
        <f>Revenue!E15</f>
        <v/>
      </c>
      <c r="F4" s="3">
        <f>Revenue!F15</f>
        <v/>
      </c>
      <c r="G4" s="3">
        <f>Revenue!G15</f>
        <v/>
      </c>
      <c r="H4" s="3">
        <f>Revenue!H15</f>
        <v/>
      </c>
      <c r="I4" s="3">
        <f>Revenue!I15</f>
        <v/>
      </c>
      <c r="J4" s="3">
        <f>Revenue!J15</f>
        <v/>
      </c>
      <c r="K4" s="3">
        <f>Revenue!K15</f>
        <v/>
      </c>
      <c r="L4" s="3">
        <f>Revenue!L15</f>
        <v/>
      </c>
      <c r="M4" s="3">
        <f>Revenue!M15</f>
        <v/>
      </c>
      <c r="N4" s="3">
        <f>Revenue!N15</f>
        <v/>
      </c>
      <c r="O4" s="3">
        <f>Revenue!O15</f>
        <v/>
      </c>
      <c r="P4" s="3">
        <f>Revenue!P15</f>
        <v/>
      </c>
      <c r="Q4" s="3">
        <f>Revenue!Q15</f>
        <v/>
      </c>
      <c r="R4" s="3">
        <f>Revenue!R15</f>
        <v/>
      </c>
      <c r="S4" s="3">
        <f>Revenue!S15</f>
        <v/>
      </c>
      <c r="T4" s="3">
        <f>Revenue!T15</f>
        <v/>
      </c>
      <c r="U4" s="3">
        <f>Revenue!U15</f>
        <v/>
      </c>
      <c r="V4" s="3">
        <f>Revenue!V15</f>
        <v/>
      </c>
      <c r="W4" s="3">
        <f>Revenue!W15</f>
        <v/>
      </c>
      <c r="X4" s="3">
        <f>Revenue!X15</f>
        <v/>
      </c>
      <c r="Y4" s="3">
        <f>Revenue!Y15</f>
        <v/>
      </c>
      <c r="Z4" s="3">
        <f>SUM(B4:M4)</f>
        <v/>
      </c>
      <c r="AA4" s="3">
        <f>SUM(N4:Y4)</f>
        <v/>
      </c>
      <c r="AB4" s="3">
        <f>Z4+AA4</f>
        <v/>
      </c>
    </row>
    <row r="5">
      <c r="A5" t="inlineStr">
        <is>
          <t>Ricavi setup</t>
        </is>
      </c>
      <c r="B5" s="3">
        <f>Revenue!B30</f>
        <v/>
      </c>
      <c r="C5" s="3">
        <f>Revenue!C30</f>
        <v/>
      </c>
      <c r="D5" s="3">
        <f>Revenue!D30</f>
        <v/>
      </c>
      <c r="E5" s="3">
        <f>Revenue!E30</f>
        <v/>
      </c>
      <c r="F5" s="3">
        <f>Revenue!F30</f>
        <v/>
      </c>
      <c r="G5" s="3">
        <f>Revenue!G30</f>
        <v/>
      </c>
      <c r="H5" s="3">
        <f>Revenue!H30</f>
        <v/>
      </c>
      <c r="I5" s="3">
        <f>Revenue!I30</f>
        <v/>
      </c>
      <c r="J5" s="3">
        <f>Revenue!J30</f>
        <v/>
      </c>
      <c r="K5" s="3">
        <f>Revenue!K30</f>
        <v/>
      </c>
      <c r="L5" s="3">
        <f>Revenue!L30</f>
        <v/>
      </c>
      <c r="M5" s="3">
        <f>Revenue!M30</f>
        <v/>
      </c>
      <c r="N5" s="3">
        <f>Revenue!N30</f>
        <v/>
      </c>
      <c r="O5" s="3">
        <f>Revenue!O30</f>
        <v/>
      </c>
      <c r="P5" s="3">
        <f>Revenue!P30</f>
        <v/>
      </c>
      <c r="Q5" s="3">
        <f>Revenue!Q30</f>
        <v/>
      </c>
      <c r="R5" s="3">
        <f>Revenue!R30</f>
        <v/>
      </c>
      <c r="S5" s="3">
        <f>Revenue!S30</f>
        <v/>
      </c>
      <c r="T5" s="3">
        <f>Revenue!T30</f>
        <v/>
      </c>
      <c r="U5" s="3">
        <f>Revenue!U30</f>
        <v/>
      </c>
      <c r="V5" s="3">
        <f>Revenue!V30</f>
        <v/>
      </c>
      <c r="W5" s="3">
        <f>Revenue!W30</f>
        <v/>
      </c>
      <c r="X5" s="3">
        <f>Revenue!X30</f>
        <v/>
      </c>
      <c r="Y5" s="3">
        <f>Revenue!Y30</f>
        <v/>
      </c>
      <c r="Z5" s="3">
        <f>SUM(B5:M5)</f>
        <v/>
      </c>
      <c r="AA5" s="3">
        <f>SUM(N5:Y5)</f>
        <v/>
      </c>
      <c r="AB5" s="3">
        <f>Z5+AA5</f>
        <v/>
      </c>
    </row>
    <row r="6">
      <c r="A6" s="5" t="inlineStr">
        <is>
          <t>Ricavi totali</t>
        </is>
      </c>
      <c r="B6" s="3">
        <f>B4+B5</f>
        <v/>
      </c>
      <c r="C6" s="3">
        <f>C4+C5</f>
        <v/>
      </c>
      <c r="D6" s="3">
        <f>D4+D5</f>
        <v/>
      </c>
      <c r="E6" s="3">
        <f>E4+E5</f>
        <v/>
      </c>
      <c r="F6" s="3">
        <f>F4+F5</f>
        <v/>
      </c>
      <c r="G6" s="3">
        <f>G4+G5</f>
        <v/>
      </c>
      <c r="H6" s="3">
        <f>H4+H5</f>
        <v/>
      </c>
      <c r="I6" s="3">
        <f>I4+I5</f>
        <v/>
      </c>
      <c r="J6" s="3">
        <f>J4+J5</f>
        <v/>
      </c>
      <c r="K6" s="3">
        <f>K4+K5</f>
        <v/>
      </c>
      <c r="L6" s="3">
        <f>L4+L5</f>
        <v/>
      </c>
      <c r="M6" s="3">
        <f>M4+M5</f>
        <v/>
      </c>
      <c r="N6" s="3">
        <f>N4+N5</f>
        <v/>
      </c>
      <c r="O6" s="3">
        <f>O4+O5</f>
        <v/>
      </c>
      <c r="P6" s="3">
        <f>P4+P5</f>
        <v/>
      </c>
      <c r="Q6" s="3">
        <f>Q4+Q5</f>
        <v/>
      </c>
      <c r="R6" s="3">
        <f>R4+R5</f>
        <v/>
      </c>
      <c r="S6" s="3">
        <f>S4+S5</f>
        <v/>
      </c>
      <c r="T6" s="3">
        <f>T4+T5</f>
        <v/>
      </c>
      <c r="U6" s="3">
        <f>U4+U5</f>
        <v/>
      </c>
      <c r="V6" s="3">
        <f>V4+V5</f>
        <v/>
      </c>
      <c r="W6" s="3">
        <f>W4+W5</f>
        <v/>
      </c>
      <c r="X6" s="3">
        <f>X4+X5</f>
        <v/>
      </c>
      <c r="Y6" s="3">
        <f>Y4+Y5</f>
        <v/>
      </c>
      <c r="Z6" s="3">
        <f>SUM(B6:M6)</f>
        <v/>
      </c>
      <c r="AA6" s="3">
        <f>SUM(N6:Y6)</f>
        <v/>
      </c>
      <c r="AB6" s="3">
        <f>Z6+AA6</f>
        <v/>
      </c>
    </row>
    <row r="7">
      <c r="A7" t="inlineStr">
        <is>
          <t>Costi diretti</t>
        </is>
      </c>
      <c r="B7" s="3">
        <f>-DirectCosts!B15</f>
        <v/>
      </c>
      <c r="C7" s="3">
        <f>-DirectCosts!C15</f>
        <v/>
      </c>
      <c r="D7" s="3">
        <f>-DirectCosts!D15</f>
        <v/>
      </c>
      <c r="E7" s="3">
        <f>-DirectCosts!E15</f>
        <v/>
      </c>
      <c r="F7" s="3">
        <f>-DirectCosts!F15</f>
        <v/>
      </c>
      <c r="G7" s="3">
        <f>-DirectCosts!G15</f>
        <v/>
      </c>
      <c r="H7" s="3">
        <f>-DirectCosts!H15</f>
        <v/>
      </c>
      <c r="I7" s="3">
        <f>-DirectCosts!I15</f>
        <v/>
      </c>
      <c r="J7" s="3">
        <f>-DirectCosts!J15</f>
        <v/>
      </c>
      <c r="K7" s="3">
        <f>-DirectCosts!K15</f>
        <v/>
      </c>
      <c r="L7" s="3">
        <f>-DirectCosts!L15</f>
        <v/>
      </c>
      <c r="M7" s="3">
        <f>-DirectCosts!M15</f>
        <v/>
      </c>
      <c r="N7" s="3">
        <f>-DirectCosts!N15</f>
        <v/>
      </c>
      <c r="O7" s="3">
        <f>-DirectCosts!O15</f>
        <v/>
      </c>
      <c r="P7" s="3">
        <f>-DirectCosts!P15</f>
        <v/>
      </c>
      <c r="Q7" s="3">
        <f>-DirectCosts!Q15</f>
        <v/>
      </c>
      <c r="R7" s="3">
        <f>-DirectCosts!R15</f>
        <v/>
      </c>
      <c r="S7" s="3">
        <f>-DirectCosts!S15</f>
        <v/>
      </c>
      <c r="T7" s="3">
        <f>-DirectCosts!T15</f>
        <v/>
      </c>
      <c r="U7" s="3">
        <f>-DirectCosts!U15</f>
        <v/>
      </c>
      <c r="V7" s="3">
        <f>-DirectCosts!V15</f>
        <v/>
      </c>
      <c r="W7" s="3">
        <f>-DirectCosts!W15</f>
        <v/>
      </c>
      <c r="X7" s="3">
        <f>-DirectCosts!X15</f>
        <v/>
      </c>
      <c r="Y7" s="3">
        <f>-DirectCosts!Y15</f>
        <v/>
      </c>
      <c r="Z7" s="3">
        <f>SUM(B7:M7)</f>
        <v/>
      </c>
      <c r="AA7" s="3">
        <f>SUM(N7:Y7)</f>
        <v/>
      </c>
      <c r="AB7" s="3">
        <f>Z7+AA7</f>
        <v/>
      </c>
    </row>
    <row r="8">
      <c r="A8" s="5" t="inlineStr">
        <is>
          <t>Margine lordo</t>
        </is>
      </c>
      <c r="B8" s="3">
        <f>B6+B7</f>
        <v/>
      </c>
      <c r="C8" s="3">
        <f>C6+C7</f>
        <v/>
      </c>
      <c r="D8" s="3">
        <f>D6+D7</f>
        <v/>
      </c>
      <c r="E8" s="3">
        <f>E6+E7</f>
        <v/>
      </c>
      <c r="F8" s="3">
        <f>F6+F7</f>
        <v/>
      </c>
      <c r="G8" s="3">
        <f>G6+G7</f>
        <v/>
      </c>
      <c r="H8" s="3">
        <f>H6+H7</f>
        <v/>
      </c>
      <c r="I8" s="3">
        <f>I6+I7</f>
        <v/>
      </c>
      <c r="J8" s="3">
        <f>J6+J7</f>
        <v/>
      </c>
      <c r="K8" s="3">
        <f>K6+K7</f>
        <v/>
      </c>
      <c r="L8" s="3">
        <f>L6+L7</f>
        <v/>
      </c>
      <c r="M8" s="3">
        <f>M6+M7</f>
        <v/>
      </c>
      <c r="N8" s="3">
        <f>N6+N7</f>
        <v/>
      </c>
      <c r="O8" s="3">
        <f>O6+O7</f>
        <v/>
      </c>
      <c r="P8" s="3">
        <f>P6+P7</f>
        <v/>
      </c>
      <c r="Q8" s="3">
        <f>Q6+Q7</f>
        <v/>
      </c>
      <c r="R8" s="3">
        <f>R6+R7</f>
        <v/>
      </c>
      <c r="S8" s="3">
        <f>S6+S7</f>
        <v/>
      </c>
      <c r="T8" s="3">
        <f>T6+T7</f>
        <v/>
      </c>
      <c r="U8" s="3">
        <f>U6+U7</f>
        <v/>
      </c>
      <c r="V8" s="3">
        <f>V6+V7</f>
        <v/>
      </c>
      <c r="W8" s="3">
        <f>W6+W7</f>
        <v/>
      </c>
      <c r="X8" s="3">
        <f>X6+X7</f>
        <v/>
      </c>
      <c r="Y8" s="3">
        <f>Y6+Y7</f>
        <v/>
      </c>
      <c r="Z8" s="3">
        <f>SUM(B8:M8)</f>
        <v/>
      </c>
      <c r="AA8" s="3">
        <f>SUM(N8:Y8)</f>
        <v/>
      </c>
      <c r="AB8" s="3">
        <f>Z8+AA8</f>
        <v/>
      </c>
    </row>
    <row r="9">
      <c r="A9" t="inlineStr">
        <is>
          <t>Margine lordo %</t>
        </is>
      </c>
      <c r="B9" s="13">
        <f>IF(B6=0,0,B8/B6)</f>
        <v/>
      </c>
      <c r="C9" s="13">
        <f>IF(C6=0,0,C8/C6)</f>
        <v/>
      </c>
      <c r="D9" s="13">
        <f>IF(D6=0,0,D8/D6)</f>
        <v/>
      </c>
      <c r="E9" s="13">
        <f>IF(E6=0,0,E8/E6)</f>
        <v/>
      </c>
      <c r="F9" s="13">
        <f>IF(F6=0,0,F8/F6)</f>
        <v/>
      </c>
      <c r="G9" s="13">
        <f>IF(G6=0,0,G8/G6)</f>
        <v/>
      </c>
      <c r="H9" s="13">
        <f>IF(H6=0,0,H8/H6)</f>
        <v/>
      </c>
      <c r="I9" s="13">
        <f>IF(I6=0,0,I8/I6)</f>
        <v/>
      </c>
      <c r="J9" s="13">
        <f>IF(J6=0,0,J8/J6)</f>
        <v/>
      </c>
      <c r="K9" s="13">
        <f>IF(K6=0,0,K8/K6)</f>
        <v/>
      </c>
      <c r="L9" s="13">
        <f>IF(L6=0,0,L8/L6)</f>
        <v/>
      </c>
      <c r="M9" s="13">
        <f>IF(M6=0,0,M8/M6)</f>
        <v/>
      </c>
      <c r="N9" s="13">
        <f>IF(N6=0,0,N8/N6)</f>
        <v/>
      </c>
      <c r="O9" s="13">
        <f>IF(O6=0,0,O8/O6)</f>
        <v/>
      </c>
      <c r="P9" s="13">
        <f>IF(P6=0,0,P8/P6)</f>
        <v/>
      </c>
      <c r="Q9" s="13">
        <f>IF(Q6=0,0,Q8/Q6)</f>
        <v/>
      </c>
      <c r="R9" s="13">
        <f>IF(R6=0,0,R8/R6)</f>
        <v/>
      </c>
      <c r="S9" s="13">
        <f>IF(S6=0,0,S8/S6)</f>
        <v/>
      </c>
      <c r="T9" s="13">
        <f>IF(T6=0,0,T8/T6)</f>
        <v/>
      </c>
      <c r="U9" s="13">
        <f>IF(U6=0,0,U8/U6)</f>
        <v/>
      </c>
      <c r="V9" s="13">
        <f>IF(V6=0,0,V8/V6)</f>
        <v/>
      </c>
      <c r="W9" s="13">
        <f>IF(W6=0,0,W8/W6)</f>
        <v/>
      </c>
      <c r="X9" s="13">
        <f>IF(X6=0,0,X8/X6)</f>
        <v/>
      </c>
      <c r="Y9" s="13">
        <f>IF(Y6=0,0,Y8/Y6)</f>
        <v/>
      </c>
      <c r="Z9" s="13">
        <f>IF(Z6=0,0,Z8/Z6)</f>
        <v/>
      </c>
      <c r="AA9" s="13">
        <f>IF(AA6=0,0,AA8/AA6)</f>
        <v/>
      </c>
      <c r="AB9" s="13">
        <f>IF(AB6=0,0,AB8/AB6)</f>
        <v/>
      </c>
    </row>
    <row r="10">
      <c r="A10" t="inlineStr">
        <is>
          <t>Costi fissi</t>
        </is>
      </c>
      <c r="B10" s="3">
        <f>-SUMPRODUCT((Assumptions!$C$31:$C$37&lt;=B$3)*Assumptions!$B$31:$B$37)</f>
        <v/>
      </c>
      <c r="C10" s="3">
        <f>-SUMPRODUCT((Assumptions!$C$31:$C$37&lt;=C$3)*Assumptions!$B$31:$B$37)</f>
        <v/>
      </c>
      <c r="D10" s="3">
        <f>-SUMPRODUCT((Assumptions!$C$31:$C$37&lt;=D$3)*Assumptions!$B$31:$B$37)</f>
        <v/>
      </c>
      <c r="E10" s="3">
        <f>-SUMPRODUCT((Assumptions!$C$31:$C$37&lt;=E$3)*Assumptions!$B$31:$B$37)</f>
        <v/>
      </c>
      <c r="F10" s="3">
        <f>-SUMPRODUCT((Assumptions!$C$31:$C$37&lt;=F$3)*Assumptions!$B$31:$B$37)</f>
        <v/>
      </c>
      <c r="G10" s="3">
        <f>-SUMPRODUCT((Assumptions!$C$31:$C$37&lt;=G$3)*Assumptions!$B$31:$B$37)</f>
        <v/>
      </c>
      <c r="H10" s="3">
        <f>-SUMPRODUCT((Assumptions!$C$31:$C$37&lt;=H$3)*Assumptions!$B$31:$B$37)</f>
        <v/>
      </c>
      <c r="I10" s="3">
        <f>-SUMPRODUCT((Assumptions!$C$31:$C$37&lt;=I$3)*Assumptions!$B$31:$B$37)</f>
        <v/>
      </c>
      <c r="J10" s="3">
        <f>-SUMPRODUCT((Assumptions!$C$31:$C$37&lt;=J$3)*Assumptions!$B$31:$B$37)</f>
        <v/>
      </c>
      <c r="K10" s="3">
        <f>-SUMPRODUCT((Assumptions!$C$31:$C$37&lt;=K$3)*Assumptions!$B$31:$B$37)</f>
        <v/>
      </c>
      <c r="L10" s="3">
        <f>-SUMPRODUCT((Assumptions!$C$31:$C$37&lt;=L$3)*Assumptions!$B$31:$B$37)</f>
        <v/>
      </c>
      <c r="M10" s="3">
        <f>-SUMPRODUCT((Assumptions!$C$31:$C$37&lt;=M$3)*Assumptions!$B$31:$B$37)</f>
        <v/>
      </c>
      <c r="N10" s="3">
        <f>-SUMPRODUCT((Assumptions!$C$31:$C$37&lt;=N$3)*Assumptions!$B$31:$B$37)</f>
        <v/>
      </c>
      <c r="O10" s="3">
        <f>-SUMPRODUCT((Assumptions!$C$31:$C$37&lt;=O$3)*Assumptions!$B$31:$B$37)</f>
        <v/>
      </c>
      <c r="P10" s="3">
        <f>-SUMPRODUCT((Assumptions!$C$31:$C$37&lt;=P$3)*Assumptions!$B$31:$B$37)</f>
        <v/>
      </c>
      <c r="Q10" s="3">
        <f>-SUMPRODUCT((Assumptions!$C$31:$C$37&lt;=Q$3)*Assumptions!$B$31:$B$37)</f>
        <v/>
      </c>
      <c r="R10" s="3">
        <f>-SUMPRODUCT((Assumptions!$C$31:$C$37&lt;=R$3)*Assumptions!$B$31:$B$37)</f>
        <v/>
      </c>
      <c r="S10" s="3">
        <f>-SUMPRODUCT((Assumptions!$C$31:$C$37&lt;=S$3)*Assumptions!$B$31:$B$37)</f>
        <v/>
      </c>
      <c r="T10" s="3">
        <f>-SUMPRODUCT((Assumptions!$C$31:$C$37&lt;=T$3)*Assumptions!$B$31:$B$37)</f>
        <v/>
      </c>
      <c r="U10" s="3">
        <f>-SUMPRODUCT((Assumptions!$C$31:$C$37&lt;=U$3)*Assumptions!$B$31:$B$37)</f>
        <v/>
      </c>
      <c r="V10" s="3">
        <f>-SUMPRODUCT((Assumptions!$C$31:$C$37&lt;=V$3)*Assumptions!$B$31:$B$37)</f>
        <v/>
      </c>
      <c r="W10" s="3">
        <f>-SUMPRODUCT((Assumptions!$C$31:$C$37&lt;=W$3)*Assumptions!$B$31:$B$37)</f>
        <v/>
      </c>
      <c r="X10" s="3">
        <f>-SUMPRODUCT((Assumptions!$C$31:$C$37&lt;=X$3)*Assumptions!$B$31:$B$37)</f>
        <v/>
      </c>
      <c r="Y10" s="3">
        <f>-SUMPRODUCT((Assumptions!$C$31:$C$37&lt;=Y$3)*Assumptions!$B$31:$B$37)</f>
        <v/>
      </c>
      <c r="Z10" s="3">
        <f>SUM(B10:M10)</f>
        <v/>
      </c>
      <c r="AA10" s="3">
        <f>SUM(N10:Y10)</f>
        <v/>
      </c>
      <c r="AB10" s="3">
        <f>Z10+AA10</f>
        <v/>
      </c>
    </row>
    <row r="11">
      <c r="A11" t="inlineStr">
        <is>
          <t>Costi una tantum</t>
        </is>
      </c>
      <c r="B11" s="3">
        <f>-SUMPRODUCT((Assumptions!$C$42:$C$44=B$3)*Assumptions!$B$42:$B$44)</f>
        <v/>
      </c>
      <c r="C11" s="3">
        <f>-SUMPRODUCT((Assumptions!$C$42:$C$44=C$3)*Assumptions!$B$42:$B$44)</f>
        <v/>
      </c>
      <c r="D11" s="3">
        <f>-SUMPRODUCT((Assumptions!$C$42:$C$44=D$3)*Assumptions!$B$42:$B$44)</f>
        <v/>
      </c>
      <c r="E11" s="3">
        <f>-SUMPRODUCT((Assumptions!$C$42:$C$44=E$3)*Assumptions!$B$42:$B$44)</f>
        <v/>
      </c>
      <c r="F11" s="3">
        <f>-SUMPRODUCT((Assumptions!$C$42:$C$44=F$3)*Assumptions!$B$42:$B$44)</f>
        <v/>
      </c>
      <c r="G11" s="3">
        <f>-SUMPRODUCT((Assumptions!$C$42:$C$44=G$3)*Assumptions!$B$42:$B$44)</f>
        <v/>
      </c>
      <c r="H11" s="3">
        <f>-SUMPRODUCT((Assumptions!$C$42:$C$44=H$3)*Assumptions!$B$42:$B$44)</f>
        <v/>
      </c>
      <c r="I11" s="3">
        <f>-SUMPRODUCT((Assumptions!$C$42:$C$44=I$3)*Assumptions!$B$42:$B$44)</f>
        <v/>
      </c>
      <c r="J11" s="3">
        <f>-SUMPRODUCT((Assumptions!$C$42:$C$44=J$3)*Assumptions!$B$42:$B$44)</f>
        <v/>
      </c>
      <c r="K11" s="3">
        <f>-SUMPRODUCT((Assumptions!$C$42:$C$44=K$3)*Assumptions!$B$42:$B$44)</f>
        <v/>
      </c>
      <c r="L11" s="3">
        <f>-SUMPRODUCT((Assumptions!$C$42:$C$44=L$3)*Assumptions!$B$42:$B$44)</f>
        <v/>
      </c>
      <c r="M11" s="3">
        <f>-SUMPRODUCT((Assumptions!$C$42:$C$44=M$3)*Assumptions!$B$42:$B$44)</f>
        <v/>
      </c>
      <c r="N11" s="3">
        <f>-SUMPRODUCT((Assumptions!$C$42:$C$44=N$3)*Assumptions!$B$42:$B$44)</f>
        <v/>
      </c>
      <c r="O11" s="3">
        <f>-SUMPRODUCT((Assumptions!$C$42:$C$44=O$3)*Assumptions!$B$42:$B$44)</f>
        <v/>
      </c>
      <c r="P11" s="3">
        <f>-SUMPRODUCT((Assumptions!$C$42:$C$44=P$3)*Assumptions!$B$42:$B$44)</f>
        <v/>
      </c>
      <c r="Q11" s="3">
        <f>-SUMPRODUCT((Assumptions!$C$42:$C$44=Q$3)*Assumptions!$B$42:$B$44)</f>
        <v/>
      </c>
      <c r="R11" s="3">
        <f>-SUMPRODUCT((Assumptions!$C$42:$C$44=R$3)*Assumptions!$B$42:$B$44)</f>
        <v/>
      </c>
      <c r="S11" s="3">
        <f>-SUMPRODUCT((Assumptions!$C$42:$C$44=S$3)*Assumptions!$B$42:$B$44)</f>
        <v/>
      </c>
      <c r="T11" s="3">
        <f>-SUMPRODUCT((Assumptions!$C$42:$C$44=T$3)*Assumptions!$B$42:$B$44)</f>
        <v/>
      </c>
      <c r="U11" s="3">
        <f>-SUMPRODUCT((Assumptions!$C$42:$C$44=U$3)*Assumptions!$B$42:$B$44)</f>
        <v/>
      </c>
      <c r="V11" s="3">
        <f>-SUMPRODUCT((Assumptions!$C$42:$C$44=V$3)*Assumptions!$B$42:$B$44)</f>
        <v/>
      </c>
      <c r="W11" s="3">
        <f>-SUMPRODUCT((Assumptions!$C$42:$C$44=W$3)*Assumptions!$B$42:$B$44)</f>
        <v/>
      </c>
      <c r="X11" s="3">
        <f>-SUMPRODUCT((Assumptions!$C$42:$C$44=X$3)*Assumptions!$B$42:$B$44)</f>
        <v/>
      </c>
      <c r="Y11" s="3">
        <f>-SUMPRODUCT((Assumptions!$C$42:$C$44=Y$3)*Assumptions!$B$42:$B$44)</f>
        <v/>
      </c>
      <c r="Z11" s="3">
        <f>SUM(B11:M11)</f>
        <v/>
      </c>
      <c r="AA11" s="3">
        <f>SUM(N11:Y11)</f>
        <v/>
      </c>
      <c r="AB11" s="3">
        <f>Z11+AA11</f>
        <v/>
      </c>
    </row>
    <row r="12">
      <c r="A12" s="5" t="inlineStr">
        <is>
          <t>EBITDA</t>
        </is>
      </c>
      <c r="B12" s="3">
        <f>B8+B10+B11</f>
        <v/>
      </c>
      <c r="C12" s="3">
        <f>C8+C10+C11</f>
        <v/>
      </c>
      <c r="D12" s="3">
        <f>D8+D10+D11</f>
        <v/>
      </c>
      <c r="E12" s="3">
        <f>E8+E10+E11</f>
        <v/>
      </c>
      <c r="F12" s="3">
        <f>F8+F10+F11</f>
        <v/>
      </c>
      <c r="G12" s="3">
        <f>G8+G10+G11</f>
        <v/>
      </c>
      <c r="H12" s="3">
        <f>H8+H10+H11</f>
        <v/>
      </c>
      <c r="I12" s="3">
        <f>I8+I10+I11</f>
        <v/>
      </c>
      <c r="J12" s="3">
        <f>J8+J10+J11</f>
        <v/>
      </c>
      <c r="K12" s="3">
        <f>K8+K10+K11</f>
        <v/>
      </c>
      <c r="L12" s="3">
        <f>L8+L10+L11</f>
        <v/>
      </c>
      <c r="M12" s="3">
        <f>M8+M10+M11</f>
        <v/>
      </c>
      <c r="N12" s="3">
        <f>N8+N10+N11</f>
        <v/>
      </c>
      <c r="O12" s="3">
        <f>O8+O10+O11</f>
        <v/>
      </c>
      <c r="P12" s="3">
        <f>P8+P10+P11</f>
        <v/>
      </c>
      <c r="Q12" s="3">
        <f>Q8+Q10+Q11</f>
        <v/>
      </c>
      <c r="R12" s="3">
        <f>R8+R10+R11</f>
        <v/>
      </c>
      <c r="S12" s="3">
        <f>S8+S10+S11</f>
        <v/>
      </c>
      <c r="T12" s="3">
        <f>T8+T10+T11</f>
        <v/>
      </c>
      <c r="U12" s="3">
        <f>U8+U10+U11</f>
        <v/>
      </c>
      <c r="V12" s="3">
        <f>V8+V10+V11</f>
        <v/>
      </c>
      <c r="W12" s="3">
        <f>W8+W10+W11</f>
        <v/>
      </c>
      <c r="X12" s="3">
        <f>X8+X10+X11</f>
        <v/>
      </c>
      <c r="Y12" s="3">
        <f>Y8+Y10+Y11</f>
        <v/>
      </c>
      <c r="Z12" s="3">
        <f>SUM(B12:M12)</f>
        <v/>
      </c>
      <c r="AA12" s="3">
        <f>SUM(N12:Y12)</f>
        <v/>
      </c>
      <c r="AB12" s="3">
        <f>Z12+AA12</f>
        <v/>
      </c>
    </row>
    <row r="13">
      <c r="A13" t="inlineStr">
        <is>
          <t>Ammortamento</t>
        </is>
      </c>
      <c r="B13" s="3">
        <f>-SUM(Capex!$B$15:B15)/Assumptions!$B$9</f>
        <v/>
      </c>
      <c r="C13" s="3">
        <f>-SUM(Capex!$B$15:C15)/Assumptions!$B$9</f>
        <v/>
      </c>
      <c r="D13" s="3">
        <f>-SUM(Capex!$B$15:D15)/Assumptions!$B$9</f>
        <v/>
      </c>
      <c r="E13" s="3">
        <f>-SUM(Capex!$B$15:E15)/Assumptions!$B$9</f>
        <v/>
      </c>
      <c r="F13" s="3">
        <f>-SUM(Capex!$B$15:F15)/Assumptions!$B$9</f>
        <v/>
      </c>
      <c r="G13" s="3">
        <f>-SUM(Capex!$B$15:G15)/Assumptions!$B$9</f>
        <v/>
      </c>
      <c r="H13" s="3">
        <f>-SUM(Capex!$B$15:H15)/Assumptions!$B$9</f>
        <v/>
      </c>
      <c r="I13" s="3">
        <f>-SUM(Capex!$B$15:I15)/Assumptions!$B$9</f>
        <v/>
      </c>
      <c r="J13" s="3">
        <f>-SUM(Capex!$B$15:J15)/Assumptions!$B$9</f>
        <v/>
      </c>
      <c r="K13" s="3">
        <f>-SUM(Capex!$B$15:K15)/Assumptions!$B$9</f>
        <v/>
      </c>
      <c r="L13" s="3">
        <f>-SUM(Capex!$B$15:L15)/Assumptions!$B$9</f>
        <v/>
      </c>
      <c r="M13" s="3">
        <f>-SUM(Capex!$B$15:M15)/Assumptions!$B$9</f>
        <v/>
      </c>
      <c r="N13" s="3">
        <f>-SUM(Capex!$B$15:N15)/Assumptions!$B$9</f>
        <v/>
      </c>
      <c r="O13" s="3">
        <f>-SUM(Capex!$B$15:O15)/Assumptions!$B$9</f>
        <v/>
      </c>
      <c r="P13" s="3">
        <f>-SUM(Capex!$B$15:P15)/Assumptions!$B$9</f>
        <v/>
      </c>
      <c r="Q13" s="3">
        <f>-SUM(Capex!$B$15:Q15)/Assumptions!$B$9</f>
        <v/>
      </c>
      <c r="R13" s="3">
        <f>-SUM(Capex!$B$15:R15)/Assumptions!$B$9</f>
        <v/>
      </c>
      <c r="S13" s="3">
        <f>-SUM(Capex!$B$15:S15)/Assumptions!$B$9</f>
        <v/>
      </c>
      <c r="T13" s="3">
        <f>-SUM(Capex!$B$15:T15)/Assumptions!$B$9</f>
        <v/>
      </c>
      <c r="U13" s="3">
        <f>-SUM(Capex!$B$15:U15)/Assumptions!$B$9</f>
        <v/>
      </c>
      <c r="V13" s="3">
        <f>-SUM(Capex!$B$15:V15)/Assumptions!$B$9</f>
        <v/>
      </c>
      <c r="W13" s="3">
        <f>-SUM(Capex!$B$15:W15)/Assumptions!$B$9</f>
        <v/>
      </c>
      <c r="X13" s="3">
        <f>-SUM(Capex!$B$15:X15)/Assumptions!$B$9</f>
        <v/>
      </c>
      <c r="Y13" s="3">
        <f>-SUM(Capex!$B$15:Y15)/Assumptions!$B$9</f>
        <v/>
      </c>
      <c r="Z13" s="3">
        <f>SUM(B13:M13)</f>
        <v/>
      </c>
      <c r="AA13" s="3">
        <f>SUM(N13:Y13)</f>
        <v/>
      </c>
      <c r="AB13" s="3">
        <f>Z13+AA13</f>
        <v/>
      </c>
    </row>
    <row r="14">
      <c r="A14" t="inlineStr">
        <is>
          <t>EBIT</t>
        </is>
      </c>
      <c r="B14" s="3">
        <f>B12+B13</f>
        <v/>
      </c>
      <c r="C14" s="3">
        <f>C12+C13</f>
        <v/>
      </c>
      <c r="D14" s="3">
        <f>D12+D13</f>
        <v/>
      </c>
      <c r="E14" s="3">
        <f>E12+E13</f>
        <v/>
      </c>
      <c r="F14" s="3">
        <f>F12+F13</f>
        <v/>
      </c>
      <c r="G14" s="3">
        <f>G12+G13</f>
        <v/>
      </c>
      <c r="H14" s="3">
        <f>H12+H13</f>
        <v/>
      </c>
      <c r="I14" s="3">
        <f>I12+I13</f>
        <v/>
      </c>
      <c r="J14" s="3">
        <f>J12+J13</f>
        <v/>
      </c>
      <c r="K14" s="3">
        <f>K12+K13</f>
        <v/>
      </c>
      <c r="L14" s="3">
        <f>L12+L13</f>
        <v/>
      </c>
      <c r="M14" s="3">
        <f>M12+M13</f>
        <v/>
      </c>
      <c r="N14" s="3">
        <f>N12+N13</f>
        <v/>
      </c>
      <c r="O14" s="3">
        <f>O12+O13</f>
        <v/>
      </c>
      <c r="P14" s="3">
        <f>P12+P13</f>
        <v/>
      </c>
      <c r="Q14" s="3">
        <f>Q12+Q13</f>
        <v/>
      </c>
      <c r="R14" s="3">
        <f>R12+R13</f>
        <v/>
      </c>
      <c r="S14" s="3">
        <f>S12+S13</f>
        <v/>
      </c>
      <c r="T14" s="3">
        <f>T12+T13</f>
        <v/>
      </c>
      <c r="U14" s="3">
        <f>U12+U13</f>
        <v/>
      </c>
      <c r="V14" s="3">
        <f>V12+V13</f>
        <v/>
      </c>
      <c r="W14" s="3">
        <f>W12+W13</f>
        <v/>
      </c>
      <c r="X14" s="3">
        <f>X12+X13</f>
        <v/>
      </c>
      <c r="Y14" s="3">
        <f>Y12+Y13</f>
        <v/>
      </c>
      <c r="Z14" s="3">
        <f>SUM(B14:M14)</f>
        <v/>
      </c>
      <c r="AA14" s="3">
        <f>SUM(N14:Y14)</f>
        <v/>
      </c>
      <c r="AB14" s="3">
        <f>Z14+AA14</f>
        <v/>
      </c>
    </row>
    <row r="15">
      <c r="A15" t="inlineStr">
        <is>
          <t>Imposte (semplificate)</t>
        </is>
      </c>
      <c r="B15" s="3">
        <f>-MAX(0,B14)*Assumptions!$B$11</f>
        <v/>
      </c>
      <c r="C15" s="3">
        <f>-MAX(0,C14)*Assumptions!$B$11</f>
        <v/>
      </c>
      <c r="D15" s="3">
        <f>-MAX(0,D14)*Assumptions!$B$11</f>
        <v/>
      </c>
      <c r="E15" s="3">
        <f>-MAX(0,E14)*Assumptions!$B$11</f>
        <v/>
      </c>
      <c r="F15" s="3">
        <f>-MAX(0,F14)*Assumptions!$B$11</f>
        <v/>
      </c>
      <c r="G15" s="3">
        <f>-MAX(0,G14)*Assumptions!$B$11</f>
        <v/>
      </c>
      <c r="H15" s="3">
        <f>-MAX(0,H14)*Assumptions!$B$11</f>
        <v/>
      </c>
      <c r="I15" s="3">
        <f>-MAX(0,I14)*Assumptions!$B$11</f>
        <v/>
      </c>
      <c r="J15" s="3">
        <f>-MAX(0,J14)*Assumptions!$B$11</f>
        <v/>
      </c>
      <c r="K15" s="3">
        <f>-MAX(0,K14)*Assumptions!$B$11</f>
        <v/>
      </c>
      <c r="L15" s="3">
        <f>-MAX(0,L14)*Assumptions!$B$11</f>
        <v/>
      </c>
      <c r="M15" s="3">
        <f>-MAX(0,M14)*Assumptions!$B$11</f>
        <v/>
      </c>
      <c r="N15" s="3">
        <f>-MAX(0,N14)*Assumptions!$B$11</f>
        <v/>
      </c>
      <c r="O15" s="3">
        <f>-MAX(0,O14)*Assumptions!$B$11</f>
        <v/>
      </c>
      <c r="P15" s="3">
        <f>-MAX(0,P14)*Assumptions!$B$11</f>
        <v/>
      </c>
      <c r="Q15" s="3">
        <f>-MAX(0,Q14)*Assumptions!$B$11</f>
        <v/>
      </c>
      <c r="R15" s="3">
        <f>-MAX(0,R14)*Assumptions!$B$11</f>
        <v/>
      </c>
      <c r="S15" s="3">
        <f>-MAX(0,S14)*Assumptions!$B$11</f>
        <v/>
      </c>
      <c r="T15" s="3">
        <f>-MAX(0,T14)*Assumptions!$B$11</f>
        <v/>
      </c>
      <c r="U15" s="3">
        <f>-MAX(0,U14)*Assumptions!$B$11</f>
        <v/>
      </c>
      <c r="V15" s="3">
        <f>-MAX(0,V14)*Assumptions!$B$11</f>
        <v/>
      </c>
      <c r="W15" s="3">
        <f>-MAX(0,W14)*Assumptions!$B$11</f>
        <v/>
      </c>
      <c r="X15" s="3">
        <f>-MAX(0,X14)*Assumptions!$B$11</f>
        <v/>
      </c>
      <c r="Y15" s="3">
        <f>-MAX(0,Y14)*Assumptions!$B$11</f>
        <v/>
      </c>
      <c r="Z15" s="3">
        <f>SUM(B15:M15)</f>
        <v/>
      </c>
      <c r="AA15" s="3">
        <f>SUM(N15:Y15)</f>
        <v/>
      </c>
      <c r="AB15" s="3">
        <f>Z15+AA15</f>
        <v/>
      </c>
    </row>
    <row r="16">
      <c r="A16" s="5" t="inlineStr">
        <is>
          <t>Utile netto</t>
        </is>
      </c>
      <c r="B16" s="3">
        <f>B14+B15</f>
        <v/>
      </c>
      <c r="C16" s="3">
        <f>C14+C15</f>
        <v/>
      </c>
      <c r="D16" s="3">
        <f>D14+D15</f>
        <v/>
      </c>
      <c r="E16" s="3">
        <f>E14+E15</f>
        <v/>
      </c>
      <c r="F16" s="3">
        <f>F14+F15</f>
        <v/>
      </c>
      <c r="G16" s="3">
        <f>G14+G15</f>
        <v/>
      </c>
      <c r="H16" s="3">
        <f>H14+H15</f>
        <v/>
      </c>
      <c r="I16" s="3">
        <f>I14+I15</f>
        <v/>
      </c>
      <c r="J16" s="3">
        <f>J14+J15</f>
        <v/>
      </c>
      <c r="K16" s="3">
        <f>K14+K15</f>
        <v/>
      </c>
      <c r="L16" s="3">
        <f>L14+L15</f>
        <v/>
      </c>
      <c r="M16" s="3">
        <f>M14+M15</f>
        <v/>
      </c>
      <c r="N16" s="3">
        <f>N14+N15</f>
        <v/>
      </c>
      <c r="O16" s="3">
        <f>O14+O15</f>
        <v/>
      </c>
      <c r="P16" s="3">
        <f>P14+P15</f>
        <v/>
      </c>
      <c r="Q16" s="3">
        <f>Q14+Q15</f>
        <v/>
      </c>
      <c r="R16" s="3">
        <f>R14+R15</f>
        <v/>
      </c>
      <c r="S16" s="3">
        <f>S14+S15</f>
        <v/>
      </c>
      <c r="T16" s="3">
        <f>T14+T15</f>
        <v/>
      </c>
      <c r="U16" s="3">
        <f>U14+U15</f>
        <v/>
      </c>
      <c r="V16" s="3">
        <f>V14+V15</f>
        <v/>
      </c>
      <c r="W16" s="3">
        <f>W14+W15</f>
        <v/>
      </c>
      <c r="X16" s="3">
        <f>X14+X15</f>
        <v/>
      </c>
      <c r="Y16" s="3">
        <f>Y14+Y15</f>
        <v/>
      </c>
      <c r="Z16" s="3">
        <f>SUM(B16:M16)</f>
        <v/>
      </c>
      <c r="AA16" s="3">
        <f>SUM(N16:Y16)</f>
        <v/>
      </c>
      <c r="AB16" s="3">
        <f>Z16+AA16</f>
        <v/>
      </c>
    </row>
    <row r="18">
      <c r="A18" t="inlineStr">
        <is>
          <t>Supporto: mese EBITDA positivo</t>
        </is>
      </c>
      <c r="B18" s="3">
        <f>IF(B12&gt;0,B$3,999)</f>
        <v/>
      </c>
      <c r="C18" s="3">
        <f>IF(C12&gt;0,C$3,999)</f>
        <v/>
      </c>
      <c r="D18" s="3">
        <f>IF(D12&gt;0,D$3,999)</f>
        <v/>
      </c>
      <c r="E18" s="3">
        <f>IF(E12&gt;0,E$3,999)</f>
        <v/>
      </c>
      <c r="F18" s="3">
        <f>IF(F12&gt;0,F$3,999)</f>
        <v/>
      </c>
      <c r="G18" s="3">
        <f>IF(G12&gt;0,G$3,999)</f>
        <v/>
      </c>
      <c r="H18" s="3">
        <f>IF(H12&gt;0,H$3,999)</f>
        <v/>
      </c>
      <c r="I18" s="3">
        <f>IF(I12&gt;0,I$3,999)</f>
        <v/>
      </c>
      <c r="J18" s="3">
        <f>IF(J12&gt;0,J$3,999)</f>
        <v/>
      </c>
      <c r="K18" s="3">
        <f>IF(K12&gt;0,K$3,999)</f>
        <v/>
      </c>
      <c r="L18" s="3">
        <f>IF(L12&gt;0,L$3,999)</f>
        <v/>
      </c>
      <c r="M18" s="3">
        <f>IF(M12&gt;0,M$3,999)</f>
        <v/>
      </c>
      <c r="N18" s="3">
        <f>IF(N12&gt;0,N$3,999)</f>
        <v/>
      </c>
      <c r="O18" s="3">
        <f>IF(O12&gt;0,O$3,999)</f>
        <v/>
      </c>
      <c r="P18" s="3">
        <f>IF(P12&gt;0,P$3,999)</f>
        <v/>
      </c>
      <c r="Q18" s="3">
        <f>IF(Q12&gt;0,Q$3,999)</f>
        <v/>
      </c>
      <c r="R18" s="3">
        <f>IF(R12&gt;0,R$3,999)</f>
        <v/>
      </c>
      <c r="S18" s="3">
        <f>IF(S12&gt;0,S$3,999)</f>
        <v/>
      </c>
      <c r="T18" s="3">
        <f>IF(T12&gt;0,T$3,999)</f>
        <v/>
      </c>
      <c r="U18" s="3">
        <f>IF(U12&gt;0,U$3,999)</f>
        <v/>
      </c>
      <c r="V18" s="3">
        <f>IF(V12&gt;0,V$3,999)</f>
        <v/>
      </c>
      <c r="W18" s="3">
        <f>IF(W12&gt;0,W$3,999)</f>
        <v/>
      </c>
      <c r="X18" s="3">
        <f>IF(X12&gt;0,X$3,999)</f>
        <v/>
      </c>
      <c r="Y18" s="3">
        <f>IF(Y12&gt;0,Y$3,999)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EUR</t>
        </is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  <c r="H3" s="2" t="n">
        <v>7</v>
      </c>
      <c r="I3" s="2" t="n">
        <v>8</v>
      </c>
      <c r="J3" s="2" t="n">
        <v>9</v>
      </c>
      <c r="K3" s="2" t="n">
        <v>10</v>
      </c>
      <c r="L3" s="2" t="n">
        <v>11</v>
      </c>
      <c r="M3" s="2" t="n">
        <v>12</v>
      </c>
      <c r="N3" s="2" t="n">
        <v>13</v>
      </c>
      <c r="O3" s="2" t="n">
        <v>14</v>
      </c>
      <c r="P3" s="2" t="n">
        <v>15</v>
      </c>
      <c r="Q3" s="2" t="n">
        <v>16</v>
      </c>
      <c r="R3" s="2" t="n">
        <v>17</v>
      </c>
      <c r="S3" s="2" t="n">
        <v>18</v>
      </c>
      <c r="T3" s="2" t="n">
        <v>19</v>
      </c>
      <c r="U3" s="2" t="n">
        <v>20</v>
      </c>
      <c r="V3" s="2" t="n">
        <v>21</v>
      </c>
      <c r="W3" s="2" t="n">
        <v>22</v>
      </c>
      <c r="X3" s="2" t="n">
        <v>23</v>
      </c>
      <c r="Y3" s="2" t="n">
        <v>24</v>
      </c>
      <c r="Z3" s="12" t="inlineStr">
        <is>
          <t>Anno 1</t>
        </is>
      </c>
      <c r="AA3" s="12" t="inlineStr">
        <is>
          <t>Anno 2</t>
        </is>
      </c>
      <c r="AB3" s="12" t="inlineStr">
        <is>
          <t>24 mesi</t>
        </is>
      </c>
    </row>
    <row r="4">
      <c r="A4" t="inlineStr">
        <is>
          <t>EBITDA</t>
        </is>
      </c>
      <c r="B4" s="3">
        <f>PnL!B12</f>
        <v/>
      </c>
      <c r="C4" s="3">
        <f>PnL!C12</f>
        <v/>
      </c>
      <c r="D4" s="3">
        <f>PnL!D12</f>
        <v/>
      </c>
      <c r="E4" s="3">
        <f>PnL!E12</f>
        <v/>
      </c>
      <c r="F4" s="3">
        <f>PnL!F12</f>
        <v/>
      </c>
      <c r="G4" s="3">
        <f>PnL!G12</f>
        <v/>
      </c>
      <c r="H4" s="3">
        <f>PnL!H12</f>
        <v/>
      </c>
      <c r="I4" s="3">
        <f>PnL!I12</f>
        <v/>
      </c>
      <c r="J4" s="3">
        <f>PnL!J12</f>
        <v/>
      </c>
      <c r="K4" s="3">
        <f>PnL!K12</f>
        <v/>
      </c>
      <c r="L4" s="3">
        <f>PnL!L12</f>
        <v/>
      </c>
      <c r="M4" s="3">
        <f>PnL!M12</f>
        <v/>
      </c>
      <c r="N4" s="3">
        <f>PnL!N12</f>
        <v/>
      </c>
      <c r="O4" s="3">
        <f>PnL!O12</f>
        <v/>
      </c>
      <c r="P4" s="3">
        <f>PnL!P12</f>
        <v/>
      </c>
      <c r="Q4" s="3">
        <f>PnL!Q12</f>
        <v/>
      </c>
      <c r="R4" s="3">
        <f>PnL!R12</f>
        <v/>
      </c>
      <c r="S4" s="3">
        <f>PnL!S12</f>
        <v/>
      </c>
      <c r="T4" s="3">
        <f>PnL!T12</f>
        <v/>
      </c>
      <c r="U4" s="3">
        <f>PnL!U12</f>
        <v/>
      </c>
      <c r="V4" s="3">
        <f>PnL!V12</f>
        <v/>
      </c>
      <c r="W4" s="3">
        <f>PnL!W12</f>
        <v/>
      </c>
      <c r="X4" s="3">
        <f>PnL!X12</f>
        <v/>
      </c>
      <c r="Y4" s="3">
        <f>PnL!Y12</f>
        <v/>
      </c>
      <c r="Z4" s="3">
        <f>SUM(B4:M4)</f>
        <v/>
      </c>
      <c r="AA4" s="3">
        <f>SUM(N4:Y4)</f>
        <v/>
      </c>
      <c r="AB4" s="3">
        <f>Z4+AA4</f>
        <v/>
      </c>
    </row>
    <row r="5">
      <c r="A5" t="inlineStr">
        <is>
          <t>Imposte (semplificate)</t>
        </is>
      </c>
      <c r="B5" s="3">
        <f>PnL!B15</f>
        <v/>
      </c>
      <c r="C5" s="3">
        <f>PnL!C15</f>
        <v/>
      </c>
      <c r="D5" s="3">
        <f>PnL!D15</f>
        <v/>
      </c>
      <c r="E5" s="3">
        <f>PnL!E15</f>
        <v/>
      </c>
      <c r="F5" s="3">
        <f>PnL!F15</f>
        <v/>
      </c>
      <c r="G5" s="3">
        <f>PnL!G15</f>
        <v/>
      </c>
      <c r="H5" s="3">
        <f>PnL!H15</f>
        <v/>
      </c>
      <c r="I5" s="3">
        <f>PnL!I15</f>
        <v/>
      </c>
      <c r="J5" s="3">
        <f>PnL!J15</f>
        <v/>
      </c>
      <c r="K5" s="3">
        <f>PnL!K15</f>
        <v/>
      </c>
      <c r="L5" s="3">
        <f>PnL!L15</f>
        <v/>
      </c>
      <c r="M5" s="3">
        <f>PnL!M15</f>
        <v/>
      </c>
      <c r="N5" s="3">
        <f>PnL!N15</f>
        <v/>
      </c>
      <c r="O5" s="3">
        <f>PnL!O15</f>
        <v/>
      </c>
      <c r="P5" s="3">
        <f>PnL!P15</f>
        <v/>
      </c>
      <c r="Q5" s="3">
        <f>PnL!Q15</f>
        <v/>
      </c>
      <c r="R5" s="3">
        <f>PnL!R15</f>
        <v/>
      </c>
      <c r="S5" s="3">
        <f>PnL!S15</f>
        <v/>
      </c>
      <c r="T5" s="3">
        <f>PnL!T15</f>
        <v/>
      </c>
      <c r="U5" s="3">
        <f>PnL!U15</f>
        <v/>
      </c>
      <c r="V5" s="3">
        <f>PnL!V15</f>
        <v/>
      </c>
      <c r="W5" s="3">
        <f>PnL!W15</f>
        <v/>
      </c>
      <c r="X5" s="3">
        <f>PnL!X15</f>
        <v/>
      </c>
      <c r="Y5" s="3">
        <f>PnL!Y15</f>
        <v/>
      </c>
      <c r="Z5" s="3">
        <f>SUM(B5:M5)</f>
        <v/>
      </c>
      <c r="AA5" s="3">
        <f>SUM(N5:Y5)</f>
        <v/>
      </c>
      <c r="AB5" s="3">
        <f>Z5+AA5</f>
        <v/>
      </c>
    </row>
    <row r="6">
      <c r="A6" t="inlineStr">
        <is>
          <t>Capex (hardware + installazione)</t>
        </is>
      </c>
      <c r="B6" s="3">
        <f>-Capex!B15</f>
        <v/>
      </c>
      <c r="C6" s="3">
        <f>-Capex!C15</f>
        <v/>
      </c>
      <c r="D6" s="3">
        <f>-Capex!D15</f>
        <v/>
      </c>
      <c r="E6" s="3">
        <f>-Capex!E15</f>
        <v/>
      </c>
      <c r="F6" s="3">
        <f>-Capex!F15</f>
        <v/>
      </c>
      <c r="G6" s="3">
        <f>-Capex!G15</f>
        <v/>
      </c>
      <c r="H6" s="3">
        <f>-Capex!H15</f>
        <v/>
      </c>
      <c r="I6" s="3">
        <f>-Capex!I15</f>
        <v/>
      </c>
      <c r="J6" s="3">
        <f>-Capex!J15</f>
        <v/>
      </c>
      <c r="K6" s="3">
        <f>-Capex!K15</f>
        <v/>
      </c>
      <c r="L6" s="3">
        <f>-Capex!L15</f>
        <v/>
      </c>
      <c r="M6" s="3">
        <f>-Capex!M15</f>
        <v/>
      </c>
      <c r="N6" s="3">
        <f>-Capex!N15</f>
        <v/>
      </c>
      <c r="O6" s="3">
        <f>-Capex!O15</f>
        <v/>
      </c>
      <c r="P6" s="3">
        <f>-Capex!P15</f>
        <v/>
      </c>
      <c r="Q6" s="3">
        <f>-Capex!Q15</f>
        <v/>
      </c>
      <c r="R6" s="3">
        <f>-Capex!R15</f>
        <v/>
      </c>
      <c r="S6" s="3">
        <f>-Capex!S15</f>
        <v/>
      </c>
      <c r="T6" s="3">
        <f>-Capex!T15</f>
        <v/>
      </c>
      <c r="U6" s="3">
        <f>-Capex!U15</f>
        <v/>
      </c>
      <c r="V6" s="3">
        <f>-Capex!V15</f>
        <v/>
      </c>
      <c r="W6" s="3">
        <f>-Capex!W15</f>
        <v/>
      </c>
      <c r="X6" s="3">
        <f>-Capex!X15</f>
        <v/>
      </c>
      <c r="Y6" s="3">
        <f>-Capex!Y15</f>
        <v/>
      </c>
      <c r="Z6" s="3">
        <f>SUM(B6:M6)</f>
        <v/>
      </c>
      <c r="AA6" s="3">
        <f>SUM(N6:Y6)</f>
        <v/>
      </c>
      <c r="AB6" s="3">
        <f>Z6+AA6</f>
        <v/>
      </c>
    </row>
    <row r="7">
      <c r="A7" t="inlineStr">
        <is>
          <t>Flusso di cassa netto</t>
        </is>
      </c>
      <c r="B7" s="3">
        <f>B4+B5+B6</f>
        <v/>
      </c>
      <c r="C7" s="3">
        <f>C4+C5+C6</f>
        <v/>
      </c>
      <c r="D7" s="3">
        <f>D4+D5+D6</f>
        <v/>
      </c>
      <c r="E7" s="3">
        <f>E4+E5+E6</f>
        <v/>
      </c>
      <c r="F7" s="3">
        <f>F4+F5+F6</f>
        <v/>
      </c>
      <c r="G7" s="3">
        <f>G4+G5+G6</f>
        <v/>
      </c>
      <c r="H7" s="3">
        <f>H4+H5+H6</f>
        <v/>
      </c>
      <c r="I7" s="3">
        <f>I4+I5+I6</f>
        <v/>
      </c>
      <c r="J7" s="3">
        <f>J4+J5+J6</f>
        <v/>
      </c>
      <c r="K7" s="3">
        <f>K4+K5+K6</f>
        <v/>
      </c>
      <c r="L7" s="3">
        <f>L4+L5+L6</f>
        <v/>
      </c>
      <c r="M7" s="3">
        <f>M4+M5+M6</f>
        <v/>
      </c>
      <c r="N7" s="3">
        <f>N4+N5+N6</f>
        <v/>
      </c>
      <c r="O7" s="3">
        <f>O4+O5+O6</f>
        <v/>
      </c>
      <c r="P7" s="3">
        <f>P4+P5+P6</f>
        <v/>
      </c>
      <c r="Q7" s="3">
        <f>Q4+Q5+Q6</f>
        <v/>
      </c>
      <c r="R7" s="3">
        <f>R4+R5+R6</f>
        <v/>
      </c>
      <c r="S7" s="3">
        <f>S4+S5+S6</f>
        <v/>
      </c>
      <c r="T7" s="3">
        <f>T4+T5+T6</f>
        <v/>
      </c>
      <c r="U7" s="3">
        <f>U4+U5+U6</f>
        <v/>
      </c>
      <c r="V7" s="3">
        <f>V4+V5+V6</f>
        <v/>
      </c>
      <c r="W7" s="3">
        <f>W4+W5+W6</f>
        <v/>
      </c>
      <c r="X7" s="3">
        <f>X4+X5+X6</f>
        <v/>
      </c>
      <c r="Y7" s="3">
        <f>Y4+Y5+Y6</f>
        <v/>
      </c>
      <c r="Z7" s="3">
        <f>SUM(B7:M7)</f>
        <v/>
      </c>
      <c r="AA7" s="3">
        <f>SUM(N7:Y7)</f>
        <v/>
      </c>
      <c r="AB7" s="3">
        <f>Z7+AA7</f>
        <v/>
      </c>
    </row>
    <row r="8">
      <c r="A8" t="inlineStr">
        <is>
          <t>Cassa iniziale</t>
        </is>
      </c>
      <c r="B8" s="3">
        <f>Assumptions!$B$12</f>
        <v/>
      </c>
      <c r="C8" s="3">
        <f>B9</f>
        <v/>
      </c>
      <c r="D8" s="3">
        <f>C9</f>
        <v/>
      </c>
      <c r="E8" s="3">
        <f>D9</f>
        <v/>
      </c>
      <c r="F8" s="3">
        <f>E9</f>
        <v/>
      </c>
      <c r="G8" s="3">
        <f>F9</f>
        <v/>
      </c>
      <c r="H8" s="3">
        <f>G9</f>
        <v/>
      </c>
      <c r="I8" s="3">
        <f>H9</f>
        <v/>
      </c>
      <c r="J8" s="3">
        <f>I9</f>
        <v/>
      </c>
      <c r="K8" s="3">
        <f>J9</f>
        <v/>
      </c>
      <c r="L8" s="3">
        <f>K9</f>
        <v/>
      </c>
      <c r="M8" s="3">
        <f>L9</f>
        <v/>
      </c>
      <c r="N8" s="3">
        <f>M9</f>
        <v/>
      </c>
      <c r="O8" s="3">
        <f>N9</f>
        <v/>
      </c>
      <c r="P8" s="3">
        <f>O9</f>
        <v/>
      </c>
      <c r="Q8" s="3">
        <f>P9</f>
        <v/>
      </c>
      <c r="R8" s="3">
        <f>Q9</f>
        <v/>
      </c>
      <c r="S8" s="3">
        <f>R9</f>
        <v/>
      </c>
      <c r="T8" s="3">
        <f>S9</f>
        <v/>
      </c>
      <c r="U8" s="3">
        <f>T9</f>
        <v/>
      </c>
      <c r="V8" s="3">
        <f>U9</f>
        <v/>
      </c>
      <c r="W8" s="3">
        <f>V9</f>
        <v/>
      </c>
      <c r="X8" s="3">
        <f>W9</f>
        <v/>
      </c>
      <c r="Y8" s="3">
        <f>X9</f>
        <v/>
      </c>
    </row>
    <row r="9">
      <c r="A9" t="inlineStr">
        <is>
          <t>Cassa finale</t>
        </is>
      </c>
      <c r="B9" s="3">
        <f>B8+B7</f>
        <v/>
      </c>
      <c r="C9" s="3">
        <f>C8+C7</f>
        <v/>
      </c>
      <c r="D9" s="3">
        <f>D8+D7</f>
        <v/>
      </c>
      <c r="E9" s="3">
        <f>E8+E7</f>
        <v/>
      </c>
      <c r="F9" s="3">
        <f>F8+F7</f>
        <v/>
      </c>
      <c r="G9" s="3">
        <f>G8+G7</f>
        <v/>
      </c>
      <c r="H9" s="3">
        <f>H8+H7</f>
        <v/>
      </c>
      <c r="I9" s="3">
        <f>I8+I7</f>
        <v/>
      </c>
      <c r="J9" s="3">
        <f>J8+J7</f>
        <v/>
      </c>
      <c r="K9" s="3">
        <f>K8+K7</f>
        <v/>
      </c>
      <c r="L9" s="3">
        <f>L8+L7</f>
        <v/>
      </c>
      <c r="M9" s="3">
        <f>M8+M7</f>
        <v/>
      </c>
      <c r="N9" s="3">
        <f>N8+N7</f>
        <v/>
      </c>
      <c r="O9" s="3">
        <f>O8+O7</f>
        <v/>
      </c>
      <c r="P9" s="3">
        <f>P8+P7</f>
        <v/>
      </c>
      <c r="Q9" s="3">
        <f>Q8+Q7</f>
        <v/>
      </c>
      <c r="R9" s="3">
        <f>R8+R7</f>
        <v/>
      </c>
      <c r="S9" s="3">
        <f>S8+S7</f>
        <v/>
      </c>
      <c r="T9" s="3">
        <f>T8+T7</f>
        <v/>
      </c>
      <c r="U9" s="3">
        <f>U8+U7</f>
        <v/>
      </c>
      <c r="V9" s="3">
        <f>V8+V7</f>
        <v/>
      </c>
      <c r="W9" s="3">
        <f>W8+W7</f>
        <v/>
      </c>
      <c r="X9" s="3">
        <f>X8+X7</f>
        <v/>
      </c>
      <c r="Y9" s="3">
        <f>Y8+Y7</f>
        <v/>
      </c>
    </row>
    <row r="10">
      <c r="A10" t="inlineStr">
        <is>
          <t>Flusso cumulato</t>
        </is>
      </c>
      <c r="B10" s="3">
        <f>SUM($B7:B7)</f>
        <v/>
      </c>
      <c r="C10" s="3">
        <f>SUM($B7:C7)</f>
        <v/>
      </c>
      <c r="D10" s="3">
        <f>SUM($B7:D7)</f>
        <v/>
      </c>
      <c r="E10" s="3">
        <f>SUM($B7:E7)</f>
        <v/>
      </c>
      <c r="F10" s="3">
        <f>SUM($B7:F7)</f>
        <v/>
      </c>
      <c r="G10" s="3">
        <f>SUM($B7:G7)</f>
        <v/>
      </c>
      <c r="H10" s="3">
        <f>SUM($B7:H7)</f>
        <v/>
      </c>
      <c r="I10" s="3">
        <f>SUM($B7:I7)</f>
        <v/>
      </c>
      <c r="J10" s="3">
        <f>SUM($B7:J7)</f>
        <v/>
      </c>
      <c r="K10" s="3">
        <f>SUM($B7:K7)</f>
        <v/>
      </c>
      <c r="L10" s="3">
        <f>SUM($B7:L7)</f>
        <v/>
      </c>
      <c r="M10" s="3">
        <f>SUM($B7:M7)</f>
        <v/>
      </c>
      <c r="N10" s="3">
        <f>SUM($B7:N7)</f>
        <v/>
      </c>
      <c r="O10" s="3">
        <f>SUM($B7:O7)</f>
        <v/>
      </c>
      <c r="P10" s="3">
        <f>SUM($B7:P7)</f>
        <v/>
      </c>
      <c r="Q10" s="3">
        <f>SUM($B7:Q7)</f>
        <v/>
      </c>
      <c r="R10" s="3">
        <f>SUM($B7:R7)</f>
        <v/>
      </c>
      <c r="S10" s="3">
        <f>SUM($B7:S7)</f>
        <v/>
      </c>
      <c r="T10" s="3">
        <f>SUM($B7:T7)</f>
        <v/>
      </c>
      <c r="U10" s="3">
        <f>SUM($B7:U7)</f>
        <v/>
      </c>
      <c r="V10" s="3">
        <f>SUM($B7:V7)</f>
        <v/>
      </c>
      <c r="W10" s="3">
        <f>SUM($B7:W7)</f>
        <v/>
      </c>
      <c r="X10" s="3">
        <f>SUM($B7:X7)</f>
        <v/>
      </c>
      <c r="Y10" s="3">
        <f>SUM($B7:Y7)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6" customWidth="1" min="4" max="4"/>
    <col width="18" customWidth="1" min="5" max="5"/>
    <col width="14" customWidth="1" min="6" max="6"/>
    <col width="16" customWidth="1" min="7" max="7"/>
    <col width="18" customWidth="1" min="8" max="8"/>
    <col width="14" customWidth="1" min="9" max="9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Categoria</t>
        </is>
      </c>
      <c r="B3" s="2" t="inlineStr">
        <is>
          <t>Capex iniziale per struttura</t>
        </is>
      </c>
      <c r="C3" s="2" t="inlineStr">
        <is>
          <t>Canone setup per struttura (EUR)</t>
        </is>
      </c>
      <c r="D3" s="2" t="inlineStr">
        <is>
          <t>Esborso netto dopo setup</t>
        </is>
      </c>
      <c r="E3" s="2" t="inlineStr">
        <is>
          <t>Contributo mensile per struttura</t>
        </is>
      </c>
      <c r="F3" s="2" t="inlineStr">
        <is>
          <t>Payback (mesi)</t>
        </is>
      </c>
      <c r="G3" s="2" t="inlineStr">
        <is>
          <t>Ricavi 24 mesi</t>
        </is>
      </c>
      <c r="H3" s="2" t="inlineStr">
        <is>
          <t>Margine diretto 24 mesi</t>
        </is>
      </c>
      <c r="I3" s="2" t="inlineStr">
        <is>
          <t>Strutture a M24</t>
        </is>
      </c>
    </row>
    <row r="4">
      <c r="A4" t="inlineStr">
        <is>
          <t>Hotel Agent OS (agenti AI operativi)</t>
        </is>
      </c>
      <c r="B4" s="3">
        <f>Assumptions!E16*(Assumptions!F16+Assumptions!G16)*(1+Assumptions!$B$10)</f>
        <v/>
      </c>
      <c r="C4" s="3">
        <f>Assumptions!H16</f>
        <v/>
      </c>
      <c r="D4" s="3">
        <f>MAX(0,B4-C4)</f>
        <v/>
      </c>
      <c r="E4" s="3">
        <f>Assumptions!I16*(1-Assumptions!J16)</f>
        <v/>
      </c>
      <c r="F4" s="14">
        <f>IF(E4&lt;=0,"n/a",D4/E4)</f>
        <v/>
      </c>
      <c r="G4" s="3">
        <f>Revenue!AB4+Revenue!AB19</f>
        <v/>
      </c>
      <c r="H4" s="3">
        <f>G4-DirectCosts!AB4</f>
        <v/>
      </c>
      <c r="I4">
        <f>Customers!Y4</f>
        <v/>
      </c>
    </row>
    <row r="5">
      <c r="A5" t="inlineStr">
        <is>
          <t>GuestNode Lobby (terminale in reception)</t>
        </is>
      </c>
      <c r="B5" s="3">
        <f>Assumptions!E17*(Assumptions!F17+Assumptions!G17)*(1+Assumptions!$B$10)</f>
        <v/>
      </c>
      <c r="C5" s="3">
        <f>Assumptions!H17</f>
        <v/>
      </c>
      <c r="D5" s="3">
        <f>MAX(0,B5-C5)</f>
        <v/>
      </c>
      <c r="E5" s="3">
        <f>Assumptions!I17*(1-Assumptions!J17)</f>
        <v/>
      </c>
      <c r="F5" s="14">
        <f>IF(E5&lt;=0,"n/a",D5/E5)</f>
        <v/>
      </c>
      <c r="G5" s="3">
        <f>Revenue!AB5+Revenue!AB20</f>
        <v/>
      </c>
      <c r="H5" s="3">
        <f>G5-DirectCosts!AB5</f>
        <v/>
      </c>
      <c r="I5">
        <f>Customers!Y5</f>
        <v/>
      </c>
    </row>
    <row r="6">
      <c r="A6" t="inlineStr">
        <is>
          <t>GuestNode in camera</t>
        </is>
      </c>
      <c r="B6" s="3">
        <f>Assumptions!E18*(Assumptions!F18+Assumptions!G18)*(1+Assumptions!$B$10)</f>
        <v/>
      </c>
      <c r="C6" s="3">
        <f>Assumptions!H18</f>
        <v/>
      </c>
      <c r="D6" s="3">
        <f>MAX(0,B6-C6)</f>
        <v/>
      </c>
      <c r="E6" s="3">
        <f>Assumptions!I18*(1-Assumptions!J18)</f>
        <v/>
      </c>
      <c r="F6" s="14">
        <f>IF(E6&lt;=0,"n/a",D6/E6)</f>
        <v/>
      </c>
      <c r="G6" s="3">
        <f>Revenue!AB6+Revenue!AB21</f>
        <v/>
      </c>
      <c r="H6" s="3">
        <f>G6-DirectCosts!AB6</f>
        <v/>
      </c>
      <c r="I6">
        <f>Customers!Y6</f>
        <v/>
      </c>
    </row>
    <row r="7">
      <c r="A7" t="inlineStr">
        <is>
          <t>Smart Travel Wall (vending/micro-market)</t>
        </is>
      </c>
      <c r="B7" s="3">
        <f>Assumptions!E19*(Assumptions!F19+Assumptions!G19)*(1+Assumptions!$B$10)</f>
        <v/>
      </c>
      <c r="C7" s="3">
        <f>Assumptions!H19</f>
        <v/>
      </c>
      <c r="D7" s="3">
        <f>MAX(0,B7-C7)</f>
        <v/>
      </c>
      <c r="E7" s="3">
        <f>Assumptions!I19*(1-Assumptions!J19)</f>
        <v/>
      </c>
      <c r="F7" s="14">
        <f>IF(E7&lt;=0,"n/a",D7/E7)</f>
        <v/>
      </c>
      <c r="G7" s="3">
        <f>Revenue!AB7+Revenue!AB22</f>
        <v/>
      </c>
      <c r="H7" s="3">
        <f>G7-DirectCosts!AB7</f>
        <v/>
      </c>
      <c r="I7">
        <f>Customers!Y7</f>
        <v/>
      </c>
    </row>
    <row r="8">
      <c r="A8" t="inlineStr">
        <is>
          <t>Armadietti a noleggio</t>
        </is>
      </c>
      <c r="B8" s="3">
        <f>Assumptions!E20*(Assumptions!F20+Assumptions!G20)*(1+Assumptions!$B$10)</f>
        <v/>
      </c>
      <c r="C8" s="3">
        <f>Assumptions!H20</f>
        <v/>
      </c>
      <c r="D8" s="3">
        <f>MAX(0,B8-C8)</f>
        <v/>
      </c>
      <c r="E8" s="3">
        <f>Assumptions!I20*(1-Assumptions!J20)</f>
        <v/>
      </c>
      <c r="F8" s="14">
        <f>IF(E8&lt;=0,"n/a",D8/E8)</f>
        <v/>
      </c>
      <c r="G8" s="3">
        <f>Revenue!AB8+Revenue!AB23</f>
        <v/>
      </c>
      <c r="H8" s="3">
        <f>G8-DirectCosts!AB8</f>
        <v/>
      </c>
      <c r="I8">
        <f>Customers!Y8</f>
        <v/>
      </c>
    </row>
    <row r="9">
      <c r="A9" t="inlineStr">
        <is>
          <t>Armadietti bagagli</t>
        </is>
      </c>
      <c r="B9" s="3">
        <f>Assumptions!E21*(Assumptions!F21+Assumptions!G21)*(1+Assumptions!$B$10)</f>
        <v/>
      </c>
      <c r="C9" s="3">
        <f>Assumptions!H21</f>
        <v/>
      </c>
      <c r="D9" s="3">
        <f>MAX(0,B9-C9)</f>
        <v/>
      </c>
      <c r="E9" s="3">
        <f>Assumptions!I21*(1-Assumptions!J21)</f>
        <v/>
      </c>
      <c r="F9" s="14">
        <f>IF(E9&lt;=0,"n/a",D9/E9)</f>
        <v/>
      </c>
      <c r="G9" s="3">
        <f>Revenue!AB9+Revenue!AB24</f>
        <v/>
      </c>
      <c r="H9" s="3">
        <f>G9-DirectCosts!AB9</f>
        <v/>
      </c>
      <c r="I9">
        <f>Customers!Y9</f>
        <v/>
      </c>
    </row>
    <row r="10">
      <c r="A10" t="inlineStr">
        <is>
          <t>Noleggio power bank</t>
        </is>
      </c>
      <c r="B10" s="3">
        <f>Assumptions!E22*(Assumptions!F22+Assumptions!G22)*(1+Assumptions!$B$10)</f>
        <v/>
      </c>
      <c r="C10" s="3">
        <f>Assumptions!H22</f>
        <v/>
      </c>
      <c r="D10" s="3">
        <f>MAX(0,B10-C10)</f>
        <v/>
      </c>
      <c r="E10" s="3">
        <f>Assumptions!I22*(1-Assumptions!J22)</f>
        <v/>
      </c>
      <c r="F10" s="14">
        <f>IF(E10&lt;=0,"n/a",D10/E10)</f>
        <v/>
      </c>
      <c r="G10" s="3">
        <f>Revenue!AB10+Revenue!AB25</f>
        <v/>
      </c>
      <c r="H10" s="3">
        <f>G10-DirectCosts!AB10</f>
        <v/>
      </c>
      <c r="I10">
        <f>Customers!Y10</f>
        <v/>
      </c>
    </row>
    <row r="11">
      <c r="A11" t="inlineStr">
        <is>
          <t>Kit IoT Energia</t>
        </is>
      </c>
      <c r="B11" s="3">
        <f>Assumptions!E23*(Assumptions!F23+Assumptions!G23)*(1+Assumptions!$B$10)</f>
        <v/>
      </c>
      <c r="C11" s="3">
        <f>Assumptions!H23</f>
        <v/>
      </c>
      <c r="D11" s="3">
        <f>MAX(0,B11-C11)</f>
        <v/>
      </c>
      <c r="E11" s="3">
        <f>Assumptions!I23*(1-Assumptions!J23)</f>
        <v/>
      </c>
      <c r="F11" s="14">
        <f>IF(E11&lt;=0,"n/a",D11/E11)</f>
        <v/>
      </c>
      <c r="G11" s="3">
        <f>Revenue!AB11+Revenue!AB26</f>
        <v/>
      </c>
      <c r="H11" s="3">
        <f>G11-DirectCosts!AB11</f>
        <v/>
      </c>
      <c r="I11">
        <f>Customers!Y11</f>
        <v/>
      </c>
    </row>
    <row r="12">
      <c r="A12" t="inlineStr">
        <is>
          <t>Healthy Room IoT (qualità aria)</t>
        </is>
      </c>
      <c r="B12" s="3">
        <f>Assumptions!E24*(Assumptions!F24+Assumptions!G24)*(1+Assumptions!$B$10)</f>
        <v/>
      </c>
      <c r="C12" s="3">
        <f>Assumptions!H24</f>
        <v/>
      </c>
      <c r="D12" s="3">
        <f>MAX(0,B12-C12)</f>
        <v/>
      </c>
      <c r="E12" s="3">
        <f>Assumptions!I24*(1-Assumptions!J24)</f>
        <v/>
      </c>
      <c r="F12" s="14">
        <f>IF(E12&lt;=0,"n/a",D12/E12)</f>
        <v/>
      </c>
      <c r="G12" s="3">
        <f>Revenue!AB12+Revenue!AB27</f>
        <v/>
      </c>
      <c r="H12" s="3">
        <f>G12-DirectCosts!AB12</f>
        <v/>
      </c>
      <c r="I12">
        <f>Customers!Y12</f>
        <v/>
      </c>
    </row>
    <row r="13">
      <c r="A13" t="inlineStr">
        <is>
          <t>Marketplace locale (tour, transfer, eSIM)</t>
        </is>
      </c>
      <c r="B13" s="3">
        <f>Assumptions!E25*(Assumptions!F25+Assumptions!G25)*(1+Assumptions!$B$10)</f>
        <v/>
      </c>
      <c r="C13" s="3">
        <f>Assumptions!H25</f>
        <v/>
      </c>
      <c r="D13" s="3">
        <f>MAX(0,B13-C13)</f>
        <v/>
      </c>
      <c r="E13" s="3">
        <f>Assumptions!I25*(1-Assumptions!J25)</f>
        <v/>
      </c>
      <c r="F13" s="14">
        <f>IF(E13&lt;=0,"n/a",D13/E13)</f>
        <v/>
      </c>
      <c r="G13" s="3">
        <f>Revenue!AB13+Revenue!AB28</f>
        <v/>
      </c>
      <c r="H13" s="3">
        <f>G13-DirectCosts!AB13</f>
        <v/>
      </c>
      <c r="I13">
        <f>Customers!Y13</f>
        <v/>
      </c>
    </row>
    <row r="14">
      <c r="A14" t="inlineStr">
        <is>
          <t>Vending regolamentato tramite partner autorizzato (opzione, OFF nel base)</t>
        </is>
      </c>
      <c r="B14" s="3">
        <f>Assumptions!E26*(Assumptions!F26+Assumptions!G26)*(1+Assumptions!$B$10)</f>
        <v/>
      </c>
      <c r="C14" s="3">
        <f>Assumptions!H26</f>
        <v/>
      </c>
      <c r="D14" s="3">
        <f>MAX(0,B14-C14)</f>
        <v/>
      </c>
      <c r="E14" s="3">
        <f>Assumptions!I26*(1-Assumptions!J26)</f>
        <v/>
      </c>
      <c r="F14" s="14">
        <f>IF(E14&lt;=0,"n/a",D14/E14)</f>
        <v/>
      </c>
      <c r="G14" s="3">
        <f>Revenue!AB14+Revenue!AB29</f>
        <v/>
      </c>
      <c r="H14" s="3">
        <f>G14-DirectCosts!AB14</f>
        <v/>
      </c>
      <c r="I14">
        <f>Customers!Y14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90" customWidth="1" min="3" max="3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Categoria</t>
        </is>
      </c>
      <c r="B3" s="2" t="inlineStr">
        <is>
          <t>Status</t>
        </is>
      </c>
      <c r="C3" s="2" t="inlineStr">
        <is>
          <t>Commento</t>
        </is>
      </c>
    </row>
    <row r="4">
      <c r="A4" s="15" t="inlineStr">
        <is>
          <t>Hotel Agent OS (agenti su PMS/CRM esistenti)</t>
        </is>
      </c>
      <c r="B4" s="15" t="inlineStr">
        <is>
          <t>INCLUSO</t>
        </is>
      </c>
      <c r="C4" s="15" t="inlineStr">
        <is>
          <t>Prodotto centrale; include workflow di conformità Italia (Alloggiati Web).</t>
        </is>
      </c>
    </row>
    <row r="5">
      <c r="A5" s="15" t="inlineStr">
        <is>
          <t>GuestNode (lobby + camera), Travel Wall, armadietti, power bank, IoT Energia, Healthy Room, Marketplace</t>
        </is>
      </c>
      <c r="B5" s="15" t="inlineStr">
        <is>
          <t>INCLUSO</t>
        </is>
      </c>
      <c r="C5" s="15" t="inlineStr">
        <is>
          <t>L'hardware è il cuneo di distribuzione; il prodotto è agente + livello identità.</t>
        </is>
      </c>
    </row>
    <row r="6">
      <c r="A6" s="15" t="inlineStr">
        <is>
          <t>Vending regolamentato (vape/nicotina)</t>
        </is>
      </c>
      <c r="B6" s="15" t="inlineStr">
        <is>
          <t>OPZIONE, OFF</t>
        </is>
      </c>
      <c r="C6" s="15" t="inlineStr">
        <is>
          <t>Solo tramite operatore autorizzato dopo parere legale.</t>
        </is>
      </c>
    </row>
    <row r="7">
      <c r="A7" s="15" t="inlineStr">
        <is>
          <t>Smart Access (serrature)</t>
        </is>
      </c>
      <c r="B7" s="15" t="inlineStr">
        <is>
          <t>ESCLUSO</t>
        </is>
      </c>
      <c r="C7" s="15" t="inlineStr">
        <is>
          <t>Rimosso dal report finale su richiesta.</t>
        </is>
      </c>
    </row>
    <row r="8">
      <c r="A8" s="15" t="inlineStr">
        <is>
          <t>Robot (consegna, pulizia)</t>
        </is>
      </c>
      <c r="B8" s="15" t="inlineStr">
        <is>
          <t>ESCLUSO</t>
        </is>
      </c>
      <c r="C8" s="15" t="inlineStr">
        <is>
          <t>Rimosso dal report finale su richiesta.</t>
        </is>
      </c>
    </row>
    <row r="9">
      <c r="A9" s="15" t="inlineStr">
        <is>
          <t>Chiosco check-in / ID</t>
        </is>
      </c>
      <c r="B9" s="15" t="inlineStr">
        <is>
          <t>ESCLUSO</t>
        </is>
      </c>
      <c r="C9" s="15" t="inlineStr">
        <is>
          <t>Il kiosk (chiosco/totem) è un terminale touchscreen self-service (di solito nella hall) dove l'ospite fa check-in, scansiona il passaporto, paga e ritira la chiave senza personale. Rimosso su richiesta.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4" customWidth="1" min="3" max="3"/>
    <col width="36" customWidth="1" min="4" max="4"/>
    <col width="30" customWidth="1" min="5" max="5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Trend</t>
        </is>
      </c>
      <c r="B3" s="2" t="inlineStr">
        <is>
          <t>Fase</t>
        </is>
      </c>
      <c r="C3" s="2" t="inlineStr">
        <is>
          <t>Livello software</t>
        </is>
      </c>
      <c r="D3" s="2" t="inlineStr">
        <is>
          <t>Livello hardware</t>
        </is>
      </c>
      <c r="E3" s="2" t="inlineStr">
        <is>
          <t>Opportunità</t>
        </is>
      </c>
    </row>
    <row r="4">
      <c r="A4" s="15" t="inlineStr">
        <is>
          <t>Operazioni alberghiere agentiche</t>
        </is>
      </c>
      <c r="B4" s="15" t="inlineStr">
        <is>
          <t>Crescita iniziale</t>
        </is>
      </c>
      <c r="C4" s="15" t="inlineStr">
        <is>
          <t>Agenti che agiscono via API PMS/CRM/messaggistica</t>
        </is>
      </c>
      <c r="D4" s="15" t="inlineStr">
        <is>
          <t>Eventi IoT come trigger</t>
        </is>
      </c>
      <c r="E4" s="15" t="inlineStr">
        <is>
          <t>Prodotto centrale</t>
        </is>
      </c>
    </row>
    <row r="5">
      <c r="A5" s="15" t="inlineStr">
        <is>
          <t>Prenotazione diretta via ricerca AI (GEO/AEO)</t>
        </is>
      </c>
      <c r="B5" s="15" t="inlineStr">
        <is>
          <t>Molto iniziale</t>
        </is>
      </c>
      <c r="C5" s="15" t="inlineStr">
        <is>
          <t>Dati strutturati hotel, recensioni, disponibilità per AI</t>
        </is>
      </c>
      <c r="D5" s="15" t="inlineStr">
        <is>
          <t>Nessuno</t>
        </is>
      </c>
      <c r="E5" s="15" t="inlineStr">
        <is>
          <t>MVP SaaS rapido</t>
        </is>
      </c>
    </row>
    <row r="6">
      <c r="A6" s="15" t="inlineStr">
        <is>
          <t>Receptionist AI (voce, WhatsApp, email)</t>
        </is>
      </c>
      <c r="B6" s="15" t="inlineStr">
        <is>
          <t>Commercializzato</t>
        </is>
      </c>
      <c r="C6" s="15" t="inlineStr">
        <is>
          <t>Risposte e preventivi multilingue 24/7</t>
        </is>
      </c>
      <c r="D6" s="15" t="inlineStr">
        <is>
          <t>SIP/edge opzionale</t>
        </is>
      </c>
      <c r="E6" s="15" t="inlineStr">
        <is>
          <t>Differenziarsi con azioni, non risposte</t>
        </is>
      </c>
    </row>
    <row r="7">
      <c r="A7" s="15" t="inlineStr">
        <is>
          <t>Energia guidata dall'occupazione</t>
        </is>
      </c>
      <c r="B7" s="15" t="inlineStr">
        <is>
          <t>Tecnologia matura, bassa penetrazione PMI</t>
        </is>
      </c>
      <c r="C7" s="15" t="inlineStr">
        <is>
          <t>Policy di setback legate al PMS</t>
        </is>
      </c>
      <c r="D7" s="15" t="inlineStr">
        <is>
          <t>Sensori mmWave, termostati, relè, gateway</t>
        </is>
      </c>
      <c r="E7" s="15" t="inlineStr">
        <is>
          <t>Bundle energia</t>
        </is>
      </c>
    </row>
    <row r="8">
      <c r="A8" s="15" t="inlineStr">
        <is>
          <t>Hardware come cuneo + livello identità</t>
        </is>
      </c>
      <c r="B8" s="15" t="inlineStr">
        <is>
          <t>Emergente</t>
        </is>
      </c>
      <c r="C8" s="15" t="inlineStr">
        <is>
          <t>Token camera/prenotazione, permessi, skill agente</t>
        </is>
      </c>
      <c r="D8" s="15" t="inlineStr">
        <is>
          <t>Touchscreen PoE, NFC/QR</t>
        </is>
      </c>
      <c r="E8" s="15" t="inlineStr">
        <is>
          <t>Cuneo di distribuzione</t>
        </is>
      </c>
    </row>
    <row r="9">
      <c r="A9" s="15" t="inlineStr">
        <is>
          <t>Micro-retail e noleggi smart</t>
        </is>
      </c>
      <c r="B9" s="15" t="inlineStr">
        <is>
          <t>In crescita</t>
        </is>
      </c>
      <c r="C9" s="15" t="inlineStr">
        <is>
          <t>Agente commerce, previsione scorte</t>
        </is>
      </c>
      <c r="D9" s="15" t="inlineStr">
        <is>
          <t>Vending, armadietti, stazioni power bank</t>
        </is>
      </c>
      <c r="E9" s="15" t="inlineStr">
        <is>
          <t>Ricavi ricorrenti + commissioni</t>
        </is>
      </c>
    </row>
    <row r="10">
      <c r="A10" s="15" t="inlineStr">
        <is>
          <t>Automazione compliance (Italia)</t>
        </is>
      </c>
      <c r="B10" s="15" t="inlineStr">
        <is>
          <t>Regolamentato, stabile</t>
        </is>
      </c>
      <c r="C10" s="15" t="inlineStr">
        <is>
          <t>Workflow Alloggiati Web, audit trail</t>
        </is>
      </c>
      <c r="D10" s="15" t="inlineStr">
        <is>
          <t>Nessuno</t>
        </is>
      </c>
      <c r="E10" s="15" t="inlineStr">
        <is>
          <t>Moat locale</t>
        </is>
      </c>
    </row>
    <row r="11">
      <c r="A11" s="15" t="inlineStr">
        <is>
          <t>Qualità dell'aria / wellness</t>
        </is>
      </c>
      <c r="B11" s="15" t="inlineStr">
        <is>
          <t>Iniziale</t>
        </is>
      </c>
      <c r="C11" s="15" t="inlineStr">
        <is>
          <t>Dashboard, alert</t>
        </is>
      </c>
      <c r="D11" s="15" t="inlineStr">
        <is>
          <t>Sensori CO2/VOC/umidità</t>
        </is>
      </c>
      <c r="E11" s="15" t="inlineStr">
        <is>
          <t>Upsell / ESG</t>
        </is>
      </c>
    </row>
    <row r="12">
      <c r="A12" s="15" t="inlineStr">
        <is>
          <t>AI invisibile + ospitalità umana</t>
        </is>
      </c>
      <c r="B12" s="15" t="inlineStr">
        <is>
          <t>Posizionamento</t>
        </is>
      </c>
      <c r="C12" s="15" t="inlineStr">
        <is>
          <t>Approvazioni, passaggio a umano</t>
        </is>
      </c>
      <c r="D12" s="15" t="inlineStr">
        <is>
          <t>Nessuno</t>
        </is>
      </c>
      <c r="E12" s="15" t="inlineStr">
        <is>
          <t>Fiducia e adozione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4" customWidth="1" min="3" max="3"/>
    <col width="48" customWidth="1" min="4" max="4"/>
  </cols>
  <sheetData>
    <row r="1">
      <c r="A1" s="5" t="inlineStr">
        <is>
          <t>Modello di ingresso nel mercato Liguria: SaaS agentico + IoT/hardware per ospiti (EUR)</t>
        </is>
      </c>
    </row>
    <row r="2">
      <c r="A2" t="inlineStr">
        <is>
          <t>Vendor identificati nella ricerca precedente; verificare i dati prodotto in fiera al TTG.</t>
        </is>
      </c>
    </row>
    <row r="3">
      <c r="A3" s="2" t="inlineStr">
        <is>
          <t>Vendor</t>
        </is>
      </c>
      <c r="B3" s="2" t="inlineStr">
        <is>
          <t>Categoria</t>
        </is>
      </c>
      <c r="C3" s="2" t="inlineStr">
        <is>
          <t>Punto di forza</t>
        </is>
      </c>
      <c r="D3" s="2" t="inlineStr">
        <is>
          <t>Gap / come ci inseriamo</t>
        </is>
      </c>
    </row>
    <row r="4">
      <c r="A4" s="15" t="inlineStr">
        <is>
          <t>Smartness</t>
        </is>
      </c>
      <c r="B4" s="15" t="inlineStr">
        <is>
          <t>PMS/RMS + AI, direzione agentica</t>
        </is>
      </c>
      <c r="C4" s="15" t="inlineStr">
        <is>
          <t>Pricing, marketing, ricavi diretti</t>
        </is>
      </c>
      <c r="D4" s="15" t="inlineStr">
        <is>
          <t>Livello agenti neutrale + IoT</t>
        </is>
      </c>
    </row>
    <row r="5">
      <c r="A5" s="15" t="inlineStr">
        <is>
          <t>AiDA (AiMS)</t>
        </is>
      </c>
      <c r="B5" s="15" t="inlineStr">
        <is>
          <t>Receptionist AI</t>
        </is>
      </c>
      <c r="C5" s="15" t="inlineStr">
        <is>
          <t>Voce + email + WhatsApp, multilingue</t>
        </is>
      </c>
      <c r="D5" s="15" t="inlineStr">
        <is>
          <t>Back-office, hardware, workflow cross-sistema</t>
        </is>
      </c>
    </row>
    <row r="6">
      <c r="A6" s="15" t="inlineStr">
        <is>
          <t>Hoxell</t>
        </is>
      </c>
      <c r="B6" s="15" t="inlineStr">
        <is>
          <t>Housekeeping / manutenzione</t>
        </is>
      </c>
      <c r="C6" s="15" t="inlineStr">
        <is>
          <t>Attività, checklist, integrazione PMS</t>
        </is>
      </c>
      <c r="D6" s="15" t="inlineStr">
        <is>
          <t>Gestione autonoma, trigger IoT</t>
        </is>
      </c>
    </row>
    <row r="7">
      <c r="A7" s="15" t="inlineStr">
        <is>
          <t>RoomCloud</t>
        </is>
      </c>
      <c r="B7" s="15" t="inlineStr">
        <is>
          <t>Channel manager / booking engine</t>
        </is>
      </c>
      <c r="C7" s="15" t="inlineStr">
        <is>
          <t>Distribuzione, molte integrazioni PMS</t>
        </is>
      </c>
      <c r="D7" s="15" t="inlineStr">
        <is>
          <t>Operazioni, compliance, livello fisico</t>
        </is>
      </c>
    </row>
    <row r="8">
      <c r="A8" s="15" t="inlineStr">
        <is>
          <t>Slope</t>
        </is>
      </c>
      <c r="B8" s="15" t="inlineStr">
        <is>
          <t>PMS/CRM italiano</t>
        </is>
      </c>
      <c r="C8" s="15" t="inlineStr">
        <is>
          <t>Workflow fiscali/compliance italiani</t>
        </is>
      </c>
      <c r="D8" s="15" t="inlineStr">
        <is>
          <t>Esecuzione agentica sopra (target integrazione)</t>
        </is>
      </c>
    </row>
    <row r="9">
      <c r="A9" s="15" t="inlineStr">
        <is>
          <t>WuBook</t>
        </is>
      </c>
      <c r="B9" s="15" t="inlineStr">
        <is>
          <t>PMS / CM / BE PMI</t>
        </is>
      </c>
      <c r="C9" s="15" t="inlineStr">
        <is>
          <t>Forte in B&amp;B e piccoli hotel</t>
        </is>
      </c>
      <c r="D9" s="15" t="inlineStr">
        <is>
          <t>Orchestrazione AI più profonda (target integrazione)</t>
        </is>
      </c>
    </row>
    <row r="10">
      <c r="A10" s="15" t="inlineStr">
        <is>
          <t>Octorate</t>
        </is>
      </c>
      <c r="B10" s="15" t="inlineStr">
        <is>
          <t>PMS/CM/BE/pagamenti all-in-one</t>
        </is>
      </c>
      <c r="C10" s="15" t="inlineStr">
        <is>
          <t>Piattaforma cloud unica</t>
        </is>
      </c>
      <c r="D10" s="15" t="inlineStr">
        <is>
          <t>Livello intelligenza neutrale all'hardware</t>
        </is>
      </c>
    </row>
    <row r="11">
      <c r="A11" s="15" t="inlineStr">
        <is>
          <t>Hotelnet</t>
        </is>
      </c>
      <c r="B11" s="15" t="inlineStr">
        <is>
          <t>CRS / CRM</t>
        </is>
      </c>
      <c r="C11" s="15" t="inlineStr">
        <is>
          <t>Profilo ospite unificato, distribuzione diretta</t>
        </is>
      </c>
      <c r="D11" s="15" t="inlineStr">
        <is>
          <t>Automazione camera, agente operativo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6" customWidth="1" min="3" max="3"/>
    <col width="52" customWidth="1" min="4" max="4"/>
  </cols>
  <sheetData>
    <row r="1">
      <c r="A1" s="5" t="inlineStr">
        <is>
          <t>Modello di ingresso nel mercato Liguria: SaaS agentico + IoT/hardware per ospiti (EUR)</t>
        </is>
      </c>
    </row>
    <row r="2">
      <c r="A2" t="inlineStr">
        <is>
          <t>Solo candidati: richiedere DoC, test report RED/EMC, documentazione API e campioni prima di ogni ordine.</t>
        </is>
      </c>
    </row>
    <row r="3">
      <c r="A3" s="2" t="inlineStr">
        <is>
          <t>Produttore</t>
        </is>
      </c>
      <c r="B3" s="2" t="inlineStr">
        <is>
          <t>Categoria</t>
        </is>
      </c>
      <c r="C3" s="2" t="inlineStr">
        <is>
          <t>Cosa acquistare</t>
        </is>
      </c>
      <c r="D3" s="2" t="inlineStr">
        <is>
          <t>Cosa tenere come nostro livello</t>
        </is>
      </c>
    </row>
    <row r="4">
      <c r="A4" s="15" t="inlineStr">
        <is>
          <t>Tuya</t>
        </is>
      </c>
      <c r="B4" s="15" t="inlineStr">
        <is>
          <t>Piattaforma IoT</t>
        </is>
      </c>
      <c r="C4" s="15" t="inlineStr">
        <is>
          <t>Hotel SaaS, sensori, illuminazione</t>
        </is>
      </c>
      <c r="D4" s="15" t="inlineStr">
        <is>
          <t>Livello identità + agente proprio; controllo locale, cloud UE</t>
        </is>
      </c>
    </row>
    <row r="5">
      <c r="A5" s="15" t="inlineStr">
        <is>
          <t>Pretech</t>
        </is>
      </c>
      <c r="B5" s="15" t="inlineStr">
        <is>
          <t>Tablet Android PoE</t>
        </is>
      </c>
      <c r="C5" s="15" t="inlineStr">
        <is>
          <t>Display PoE, NFC, supporto a muro</t>
        </is>
      </c>
      <c r="D5" s="15" t="inlineStr">
        <is>
          <t>UI agente, identità, MDM</t>
        </is>
      </c>
    </row>
    <row r="6">
      <c r="A6" s="15" t="inlineStr">
        <is>
          <t>Zhongda Smart</t>
        </is>
      </c>
      <c r="B6" s="15" t="inlineStr">
        <is>
          <t>Distributori automatici</t>
        </is>
      </c>
      <c r="C6" s="15" t="inlineStr">
        <is>
          <t>Compatti / a muro / full-size (MOQ basso su alcuni modelli)</t>
        </is>
      </c>
      <c r="D6" s="15" t="inlineStr">
        <is>
          <t>Pagamenti, agente scorte, UI italiana</t>
        </is>
      </c>
    </row>
    <row r="7">
      <c r="A7" s="15" t="inlineStr">
        <is>
          <t>TCN</t>
        </is>
      </c>
      <c r="B7" s="15" t="inlineStr">
        <is>
          <t>Vending / micro-market</t>
        </is>
      </c>
      <c r="C7" s="15" t="inlineStr">
        <is>
          <t>Armadi AI, vending caldo/freddo</t>
        </is>
      </c>
      <c r="D7" s="15" t="inlineStr">
        <is>
          <t>Marketplace e integrazioni hotel</t>
        </is>
      </c>
    </row>
    <row r="8">
      <c r="A8" s="15" t="inlineStr">
        <is>
          <t>YS Locker</t>
        </is>
      </c>
      <c r="B8" s="15" t="inlineStr">
        <is>
          <t>Armadietti smart</t>
        </is>
      </c>
      <c r="C8" s="15" t="inlineStr">
        <is>
          <t>Armadietti bagagli/pacchi, OEM/ODM</t>
        </is>
      </c>
      <c r="D8" s="15" t="inlineStr">
        <is>
          <t>Prenotazione, pricing, contesto PMS</t>
        </is>
      </c>
    </row>
    <row r="9">
      <c r="A9" s="15" t="inlineStr">
        <is>
          <t>ZHILAI</t>
        </is>
      </c>
      <c r="B9" s="15" t="inlineStr">
        <is>
          <t>Armadietti / vending</t>
        </is>
      </c>
      <c r="C9" s="15" t="inlineStr">
        <is>
          <t>Telai e controller armadietti</t>
        </is>
      </c>
      <c r="D9" s="15" t="inlineStr">
        <is>
          <t>Cloud UE e API</t>
        </is>
      </c>
    </row>
    <row r="10">
      <c r="A10" s="15" t="inlineStr">
        <is>
          <t>AITUO IoT</t>
        </is>
      </c>
      <c r="B10" s="15" t="inlineStr">
        <is>
          <t>Armadietti flessibili</t>
        </is>
      </c>
      <c r="C10" s="15" t="inlineStr">
        <is>
          <t>Armadietti bagagli/chiavi/noleggio</t>
        </is>
      </c>
      <c r="D10" s="15" t="inlineStr">
        <is>
          <t>Livello software e pagamenti</t>
        </is>
      </c>
    </row>
    <row r="11">
      <c r="A11" s="15" t="inlineStr">
        <is>
          <t>Hotowell</t>
        </is>
      </c>
      <c r="B11" s="15" t="inlineStr">
        <is>
          <t>Controlli HVAC</t>
        </is>
      </c>
      <c r="C11" s="15" t="inlineStr">
        <is>
          <t>Termostati FCU RS485/Modbus</t>
        </is>
      </c>
      <c r="D11" s="15" t="inlineStr">
        <is>
          <t>Policy energia legate al PMS</t>
        </is>
      </c>
    </row>
    <row r="12">
      <c r="A12" s="15" t="inlineStr">
        <is>
          <t>PresenceSensor (mmWave)</t>
        </is>
      </c>
      <c r="B12" s="15" t="inlineStr">
        <is>
          <t>Sensori di presenza</t>
        </is>
      </c>
      <c r="C12" s="15" t="inlineStr">
        <is>
          <t>mmWave a soffitto/parete, Zigbee/Wi-Fi</t>
        </is>
      </c>
      <c r="D12" s="15" t="inlineStr">
        <is>
          <t>Agente energia e analytics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48" customWidth="1" min="3" max="3"/>
    <col width="30" customWidth="1" min="4" max="4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Ambito</t>
        </is>
      </c>
      <c r="B3" s="2" t="inlineStr">
        <is>
          <t>Requisito</t>
        </is>
      </c>
      <c r="C3" s="2" t="inlineStr">
        <is>
          <t>Nostra azione</t>
        </is>
      </c>
      <c r="D3" s="2" t="inlineStr">
        <is>
          <t>Stato verifica</t>
        </is>
      </c>
    </row>
    <row r="4">
      <c r="A4" s="15" t="inlineStr">
        <is>
          <t>Registrazione ospiti (Alloggiati Web)</t>
        </is>
      </c>
      <c r="B4" s="15" t="inlineStr">
        <is>
          <t>I dati degli ospiti vanno inviati alla Questura tramite Alloggiati Web entro 24 ore dall'arrivo (soggiorni &lt;24h: all'arrivo).</t>
        </is>
      </c>
      <c r="C4" s="15" t="inlineStr">
        <is>
          <t>L'agente compliance prepara i dati; il personale approva; audit log.</t>
        </is>
      </c>
      <c r="D4" s="15" t="inlineStr">
        <is>
          <t>Verificato (Polizia di Stato)</t>
        </is>
      </c>
    </row>
    <row r="5">
      <c r="A5" s="15" t="inlineStr">
        <is>
          <t>Cyber Resilience Act UE</t>
        </is>
      </c>
      <c r="B5" s="15" t="inlineStr">
        <is>
          <t>Segnalazione di vulnerabilità sfruttate e incidenti gravi dal 11 set 2026 (preallarme 24h, notifica 72h); obblighi principali dal 11 dic 2027.</t>
        </is>
      </c>
      <c r="C5" s="15" t="inlineStr">
        <is>
          <t>Processo vulnerabilità, SBOM, politica aggiornamenti prima di vendere dispositivi connessi o software a proprio marchio.</t>
        </is>
      </c>
      <c r="D5" s="15" t="inlineStr">
        <is>
          <t>Verificato (Commissione europea)</t>
        </is>
      </c>
    </row>
    <row r="6">
      <c r="A6" s="15" t="inlineStr">
        <is>
          <t>Conformità prodotti radio/elettrici (CE, RED, EMC, LVD, RoHS)</t>
        </is>
      </c>
      <c r="B6" s="15" t="inlineStr">
        <is>
          <t>L'importatore deve verificare conformità, fascicolo tecnico e Dichiarazione UE; la rivendita a proprio marchio può trasferire obblighi del fabbricante.</t>
        </is>
      </c>
      <c r="C6" s="15" t="inlineStr">
        <is>
          <t>Audit pre-spedizione; richiedere test report per SKU.</t>
        </is>
      </c>
      <c r="D6" s="15" t="inlineStr">
        <is>
          <t>Da verificare con consulente conformità</t>
        </is>
      </c>
    </row>
    <row r="7">
      <c r="A7" s="15" t="inlineStr">
        <is>
          <t>GDPR / protezione dati</t>
        </is>
      </c>
      <c r="B7" s="15" t="inlineStr">
        <is>
          <t>L'agente tratta dati ospiti: DPA con hotel, hosting UE, minimizzazione, nessuna copia passaporto sui dispositivi in camera.</t>
        </is>
      </c>
      <c r="C7" s="15" t="inlineStr">
        <is>
          <t>Privacy by design; push-to-talk e mute su GuestNode.</t>
        </is>
      </c>
      <c r="D7" s="15" t="inlineStr">
        <is>
          <t>Da verificare con legale privacy</t>
        </is>
      </c>
    </row>
    <row r="8">
      <c r="A8" s="15" t="inlineStr">
        <is>
          <t>Pagamenti</t>
        </is>
      </c>
      <c r="B8" s="15" t="inlineStr">
        <is>
          <t>Usare PSP/acquirer e terminale di pagamento certificati; non trattare dati carta.</t>
        </is>
      </c>
      <c r="C8" s="15" t="inlineStr">
        <is>
          <t>Provider tipo Stripe/Adyen/Nexi.</t>
        </is>
      </c>
      <c r="D8" s="15" t="inlineStr">
        <is>
          <t>Da verificare con PSP</t>
        </is>
      </c>
    </row>
    <row r="9">
      <c r="A9" s="15" t="inlineStr">
        <is>
          <t>Vending alimentare, igiene</t>
        </is>
      </c>
      <c r="B9" s="15" t="inlineStr">
        <is>
          <t>Notifica/autorizzazione locale e regole igieniche tipo HACCP per alimenti.</t>
        </is>
      </c>
      <c r="C9" s="15" t="inlineStr">
        <is>
          <t>Partire dal non-food (adattatori, toiletries) o usare operatore locale autorizzato.</t>
        </is>
      </c>
      <c r="D9" s="15" t="inlineStr">
        <is>
          <t>Da verificare con Comune/SUAP</t>
        </is>
      </c>
    </row>
    <row r="10">
      <c r="A10" s="15" t="inlineStr">
        <is>
          <t>Batterie al litio (power bank)</t>
        </is>
      </c>
      <c r="B10" s="15" t="inlineStr">
        <is>
          <t>Si applicano sicurezza batterie, trasporto (tipo UN 38.3) e rifiuti batterie.</t>
        </is>
      </c>
      <c r="C10" s="15" t="inlineStr">
        <is>
          <t>Solo stazioni e celle certificate; assicurazione.</t>
        </is>
      </c>
      <c r="D10" s="15" t="inlineStr">
        <is>
          <t>Da verificare con consulente</t>
        </is>
      </c>
    </row>
    <row r="11">
      <c r="A11" s="15" t="inlineStr">
        <is>
          <t>Prodotti regolamentati vape/nicotina</t>
        </is>
      </c>
      <c r="B11" s="15" t="inlineStr">
        <is>
          <t>La vendita richiede filiera autorizzata, verifica età e regole monopolio tabacchi; vendita a distanza e pubblicità limitate.</t>
        </is>
      </c>
      <c r="C11" s="15" t="inlineStr">
        <is>
          <t>OFF nel caso base; solo via operatore autorizzato dopo parere legale.</t>
        </is>
      </c>
      <c r="D11" s="15" t="inlineStr">
        <is>
          <t>Da verificare con ADM / legale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70" customWidth="1" min="4" max="4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Rischio</t>
        </is>
      </c>
      <c r="B3" s="2" t="inlineStr">
        <is>
          <t>Probabilità</t>
        </is>
      </c>
      <c r="C3" s="2" t="inlineStr">
        <is>
          <t>Impatto</t>
        </is>
      </c>
      <c r="D3" s="2" t="inlineStr">
        <is>
          <t>Mitigazione</t>
        </is>
      </c>
    </row>
    <row r="4">
      <c r="A4" s="15" t="inlineStr">
        <is>
          <t>Ciclo di vendita lungo</t>
        </is>
      </c>
      <c r="B4" s="15" t="inlineStr">
        <is>
          <t>Alta</t>
        </is>
      </c>
      <c r="C4" s="15" t="inlineStr">
        <is>
          <t>Alto</t>
        </is>
      </c>
      <c r="D4" s="15" t="inlineStr">
        <is>
          <t>Pilot a pagamento, scadenze stagionali, partner PMS</t>
        </is>
      </c>
    </row>
    <row r="5">
      <c r="A5" s="15" t="inlineStr">
        <is>
          <t>Basso utilizzo GuestNode</t>
        </is>
      </c>
      <c r="B5" s="15" t="inlineStr">
        <is>
          <t>Media</t>
        </is>
      </c>
      <c r="C5" s="15" t="inlineStr">
        <is>
          <t>Alto</t>
        </is>
      </c>
      <c r="D5" s="15" t="inlineStr">
        <is>
          <t>Lobby-first, QR fallback, soglie d'uso prima del rollout in camera</t>
        </is>
      </c>
    </row>
    <row r="6">
      <c r="A6" s="15" t="inlineStr">
        <is>
          <t>Guasti / vandalismo</t>
        </is>
      </c>
      <c r="B6" s="15" t="inlineStr">
        <is>
          <t>Media</t>
        </is>
      </c>
      <c r="C6" s="15" t="inlineStr">
        <is>
          <t>Alto</t>
        </is>
      </c>
      <c r="D6" s="15" t="inlineStr">
        <is>
          <t>Pool sostituzione 5-10%, partner riparazione UE, garanzia</t>
        </is>
      </c>
    </row>
    <row r="7">
      <c r="A7" s="15" t="inlineStr">
        <is>
          <t>Documentazione OEM debole / niente DoC</t>
        </is>
      </c>
      <c r="B7" s="15" t="inlineStr">
        <is>
          <t>Alta</t>
        </is>
      </c>
      <c r="C7" s="15" t="inlineStr">
        <is>
          <t>Alto</t>
        </is>
      </c>
      <c r="D7" s="15" t="inlineStr">
        <is>
          <t>Audit pre-spedizione, test report per SKU, criteri di stop</t>
        </is>
      </c>
    </row>
    <row r="8">
      <c r="A8" s="15" t="inlineStr">
        <is>
          <t>Lock-in cloud cinese</t>
        </is>
      </c>
      <c r="B8" s="15" t="inlineStr">
        <is>
          <t>Media</t>
        </is>
      </c>
      <c r="C8" s="15" t="inlineStr">
        <is>
          <t>Alto</t>
        </is>
      </c>
      <c r="D8" s="15" t="inlineStr">
        <is>
          <t>API locale, cloud UE proprio, diritti di export</t>
        </is>
      </c>
    </row>
    <row r="9">
      <c r="A9" s="15" t="inlineStr">
        <is>
          <t>Frammentazione integrazioni PMS</t>
        </is>
      </c>
      <c r="B9" s="15" t="inlineStr">
        <is>
          <t>Alta</t>
        </is>
      </c>
      <c r="C9" s="15" t="inlineStr">
        <is>
          <t>Alto</t>
        </is>
      </c>
      <c r="D9" s="15" t="inlineStr">
        <is>
          <t>Supportare prima 2-3 PMS (es. Slope, WuBook, Octorate)</t>
        </is>
      </c>
    </row>
    <row r="10">
      <c r="A10" s="15" t="inlineStr">
        <is>
          <t>Alto carico FDE per hotel</t>
        </is>
      </c>
      <c r="B10" s="15" t="inlineStr">
        <is>
          <t>Alta</t>
        </is>
      </c>
      <c r="C10" s="15" t="inlineStr">
        <is>
          <t>Medio</t>
        </is>
      </c>
      <c r="D10" s="15" t="inlineStr">
        <is>
          <t>Connettori e SOP standard, onboarding a scope fisso</t>
        </is>
      </c>
    </row>
    <row r="11">
      <c r="A11" s="15" t="inlineStr">
        <is>
          <t>Stagionalità in Liguria</t>
        </is>
      </c>
      <c r="B11" s="15" t="inlineStr">
        <is>
          <t>Alta</t>
        </is>
      </c>
      <c r="C11" s="15" t="inlineStr">
        <is>
          <t>Alto</t>
        </is>
      </c>
      <c r="D11" s="15" t="inlineStr">
        <is>
          <t>Contratti SaaS annuali, installazione fuori stagione</t>
        </is>
      </c>
    </row>
    <row r="12">
      <c r="A12" s="15" t="inlineStr">
        <is>
          <t>Stretta capitale circolante (anticipo hardware)</t>
        </is>
      </c>
      <c r="B12" s="15" t="inlineStr">
        <is>
          <t>Media</t>
        </is>
      </c>
      <c r="C12" s="15" t="inlineStr">
        <is>
          <t>Alto</t>
        </is>
      </c>
      <c r="D12" s="15" t="inlineStr">
        <is>
          <t>Acconto hotel prima dell'ordine, ordini a tranche</t>
        </is>
      </c>
    </row>
    <row r="13">
      <c r="A13" s="15" t="inlineStr">
        <is>
          <t>Incidente GDPR</t>
        </is>
      </c>
      <c r="B13" s="15" t="inlineStr">
        <is>
          <t>Bassa-Media</t>
        </is>
      </c>
      <c r="C13" s="15" t="inlineStr">
        <is>
          <t>Molto alto</t>
        </is>
      </c>
      <c r="D13" s="15" t="inlineStr">
        <is>
          <t>Minimizzazione, cifratura, DPA, logging</t>
        </is>
      </c>
    </row>
    <row r="14">
      <c r="A14" s="15" t="inlineStr">
        <is>
          <t>Obblighi CRA / sicurezza come fabbricante</t>
        </is>
      </c>
      <c r="B14" s="15" t="inlineStr">
        <is>
          <t>Media</t>
        </is>
      </c>
      <c r="C14" s="15" t="inlineStr">
        <is>
          <t>Alto</t>
        </is>
      </c>
      <c r="D14" s="15" t="inlineStr">
        <is>
          <t>Security-by-design, contatto vulnerabilità, impegno aggiornamenti</t>
        </is>
      </c>
    </row>
    <row r="15">
      <c r="A15" s="15" t="inlineStr">
        <is>
          <t>Ammanchi / rotture di stock</t>
        </is>
      </c>
      <c r="B15" s="15" t="inlineStr">
        <is>
          <t>Media</t>
        </is>
      </c>
      <c r="C15" s="15" t="inlineStr">
        <is>
          <t>Medio</t>
        </is>
      </c>
      <c r="D15" s="15" t="inlineStr">
        <is>
          <t>Controllo peso/RFID, assortimento ridotto</t>
        </is>
      </c>
    </row>
    <row r="16">
      <c r="A16" s="15" t="inlineStr">
        <is>
          <t>Sanzioni su prodotti regolamentati (vape/nicotina)</t>
        </is>
      </c>
      <c r="B16" s="15" t="inlineStr">
        <is>
          <t>Media</t>
        </is>
      </c>
      <c r="C16" s="15" t="inlineStr">
        <is>
          <t>Molto alto</t>
        </is>
      </c>
      <c r="D16" s="15" t="inlineStr">
        <is>
          <t>Tenere OFF; solo modello con operatore autorizzato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80" customWidth="1" min="4" max="4"/>
  </cols>
  <sheetData>
    <row r="1">
      <c r="A1" s="5" t="inlineStr">
        <is>
          <t>Modello di ingresso nel mercato Liguria: SaaS agentico + IoT/hardware per ospiti (EUR)</t>
        </is>
      </c>
    </row>
    <row r="2">
      <c r="A2" t="inlineStr">
        <is>
          <t>Giudizio dell'analista, non previsioni da fonti.</t>
        </is>
      </c>
    </row>
    <row r="3">
      <c r="A3" s="2" t="inlineStr">
        <is>
          <t>Trend</t>
        </is>
      </c>
      <c r="B3" s="2" t="inlineStr">
        <is>
          <t>Orizzonte (anni)</t>
        </is>
      </c>
      <c r="C3" s="2" t="inlineStr">
        <is>
          <t>Valutazione</t>
        </is>
      </c>
      <c r="D3" s="2" t="inlineStr">
        <is>
          <t>Motivazione</t>
        </is>
      </c>
    </row>
    <row r="4">
      <c r="A4" s="15" t="inlineStr">
        <is>
          <t>Operazioni agentiche</t>
        </is>
      </c>
      <c r="B4" s="15" t="inlineStr">
        <is>
          <t>7-10</t>
        </is>
      </c>
      <c r="C4" s="15" t="inlineStr">
        <is>
          <t>Molto alta</t>
        </is>
      </c>
      <c r="D4" s="15" t="inlineStr">
        <is>
          <t>Il bisogno di fondo (carenza personale, domanda multicanale) persiste</t>
        </is>
      </c>
    </row>
    <row r="5">
      <c r="A5" s="15" t="inlineStr">
        <is>
          <t>Servizio ospiti multilingue</t>
        </is>
      </c>
      <c r="B5" s="15" t="inlineStr">
        <is>
          <t>7-10</t>
        </is>
      </c>
      <c r="C5" s="15" t="inlineStr">
        <is>
          <t>Molto alta</t>
        </is>
      </c>
      <c r="D5" s="15" t="inlineStr">
        <is>
          <t>Necessario ma si commoditizza in fretta: non è un moat da solo</t>
        </is>
      </c>
    </row>
    <row r="6">
      <c r="A6" s="15" t="inlineStr">
        <is>
          <t>Livello identità/contesto</t>
        </is>
      </c>
      <c r="B6" s="15" t="inlineStr">
        <is>
          <t>7-10</t>
        </is>
      </c>
      <c r="C6" s="15" t="inlineStr">
        <is>
          <t>Molto alta</t>
        </is>
      </c>
      <c r="D6" s="15" t="inlineStr">
        <is>
          <t>Asset architetturale che collega prenotazione, camera, lingua, permessi</t>
        </is>
      </c>
    </row>
    <row r="7">
      <c r="A7" s="15" t="inlineStr">
        <is>
          <t>Orchestrazione neutrale al PMS</t>
        </is>
      </c>
      <c r="B7" s="15" t="inlineStr">
        <is>
          <t>5-10</t>
        </is>
      </c>
      <c r="C7" s="15" t="inlineStr">
        <is>
          <t>Alta</t>
        </is>
      </c>
      <c r="D7" s="15" t="inlineStr">
        <is>
          <t>Protegge dalla dipendenza da un solo PMS</t>
        </is>
      </c>
    </row>
    <row r="8">
      <c r="A8" s="15" t="inlineStr">
        <is>
          <t>IoT energia</t>
        </is>
      </c>
      <c r="B8" s="15" t="inlineStr">
        <is>
          <t>8-12</t>
        </is>
      </c>
      <c r="C8" s="15" t="inlineStr">
        <is>
          <t>Molto alta</t>
        </is>
      </c>
      <c r="D8" s="15" t="inlineStr">
        <is>
          <t>Il risparmio costi è un bisogno durevole; hardware maturo</t>
        </is>
      </c>
    </row>
    <row r="9">
      <c r="A9" s="15" t="inlineStr">
        <is>
          <t>Smart vending / micro-market</t>
        </is>
      </c>
      <c r="B9" s="15" t="inlineStr">
        <is>
          <t>5-8</t>
        </is>
      </c>
      <c r="C9" s="15" t="inlineStr">
        <is>
          <t>Alta</t>
        </is>
      </c>
      <c r="D9" s="15" t="inlineStr">
        <is>
          <t>Livello commercio fisico stabile; hotel con poco personale</t>
        </is>
      </c>
    </row>
    <row r="10">
      <c r="A10" s="15" t="inlineStr">
        <is>
          <t>Armadietti noleggio / bagagli</t>
        </is>
      </c>
      <c r="B10" s="15" t="inlineStr">
        <is>
          <t>5-8</t>
        </is>
      </c>
      <c r="C10" s="15" t="inlineStr">
        <is>
          <t>Alta</t>
        </is>
      </c>
      <c r="D10" s="15" t="inlineStr">
        <is>
          <t>Semplice, collaudato, funziona senza personale</t>
        </is>
      </c>
    </row>
    <row r="11">
      <c r="A11" s="15" t="inlineStr">
        <is>
          <t>Noleggio power bank</t>
        </is>
      </c>
      <c r="B11" s="15" t="inlineStr">
        <is>
          <t>3-6</t>
        </is>
      </c>
      <c r="C11" s="15" t="inlineStr">
        <is>
          <t>Media</t>
        </is>
      </c>
      <c r="D11" s="15" t="inlineStr">
        <is>
          <t>Utile ma facilmente replicabile da reti</t>
        </is>
      </c>
    </row>
    <row r="12">
      <c r="A12" s="15" t="inlineStr">
        <is>
          <t>Healthy Room IoT</t>
        </is>
      </c>
      <c r="B12" s="15" t="inlineStr">
        <is>
          <t>4-7</t>
        </is>
      </c>
      <c r="C12" s="15" t="inlineStr">
        <is>
          <t>Media</t>
        </is>
      </c>
      <c r="D12" s="15" t="inlineStr">
        <is>
          <t>Upsell wellness/ESG; domanda in formazione</t>
        </is>
      </c>
    </row>
    <row r="13">
      <c r="A13" s="15" t="inlineStr">
        <is>
          <t>Marketplace locale (tour, eSIM)</t>
        </is>
      </c>
      <c r="B13" s="15" t="inlineStr">
        <is>
          <t>5-8</t>
        </is>
      </c>
      <c r="C13" s="15" t="inlineStr">
        <is>
          <t>Alta</t>
        </is>
      </c>
      <c r="D13" s="15" t="inlineStr">
        <is>
          <t>Modello a commissione legato al flusso ospiti</t>
        </is>
      </c>
    </row>
    <row r="14">
      <c r="A14" s="15" t="inlineStr">
        <is>
          <t>Assistenti vocali in camera</t>
        </is>
      </c>
      <c r="B14" s="15" t="inlineStr">
        <is>
          <t>3-6</t>
        </is>
      </c>
      <c r="C14" s="15" t="inlineStr">
        <is>
          <t>Media</t>
        </is>
      </c>
      <c r="D14" s="15" t="inlineStr">
        <is>
          <t>Richiede privacy e uso misurabile</t>
        </is>
      </c>
    </row>
    <row r="15">
      <c r="A15" s="15" t="inlineStr">
        <is>
          <t>Concierge QR su telefono</t>
        </is>
      </c>
      <c r="B15" s="15" t="inlineStr">
        <is>
          <t>2-4</t>
        </is>
      </c>
      <c r="C15" s="15" t="inlineStr">
        <is>
          <t>Media</t>
        </is>
      </c>
      <c r="D15" s="15" t="inlineStr">
        <is>
          <t>Barriera bassa, si commoditizza presto</t>
        </is>
      </c>
    </row>
    <row r="16">
      <c r="A16" s="15" t="inlineStr">
        <is>
          <t>Vending vape/nicotina</t>
        </is>
      </c>
      <c r="B16" s="15" t="inlineStr">
        <is>
          <t>2-5</t>
        </is>
      </c>
      <c r="C16" s="15" t="inlineStr">
        <is>
          <t>Bassa-Media</t>
        </is>
      </c>
      <c r="D16" s="15" t="inlineStr">
        <is>
          <t>Il rischio regolatorio supera il valore strategico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00" customWidth="1" min="2" max="2"/>
    <col width="36" customWidth="1" min="3" max="3"/>
  </cols>
  <sheetData>
    <row r="1">
      <c r="A1" s="5" t="inlineStr">
        <is>
          <t>Modello di ingresso nel mercato Liguria: SaaS agentico + IoT/hardware per ospiti (EUR)</t>
        </is>
      </c>
    </row>
    <row r="3">
      <c r="A3" s="2" t="inlineStr">
        <is>
          <t>Source</t>
        </is>
      </c>
      <c r="B3" s="2" t="inlineStr">
        <is>
          <t>URL</t>
        </is>
      </c>
      <c r="C3" s="2" t="inlineStr">
        <is>
          <t>Used for</t>
        </is>
      </c>
    </row>
    <row r="4">
      <c r="A4" t="inlineStr">
        <is>
          <t>Regione Liguria - Turismo in Liguria 2025</t>
        </is>
      </c>
      <c r="B4" t="inlineStr">
        <is>
          <t>https://www.regione.liguria.it/components/com_publiccompetitions/includes/download.php?id=77345:flussi-turismo-2025.pdf</t>
        </is>
      </c>
      <c r="C4" t="inlineStr">
        <is>
          <t>Arrivi/presenze Liguria 2025</t>
        </is>
      </c>
    </row>
    <row r="5">
      <c r="A5" t="inlineStr">
        <is>
          <t>Polizia di Stato - Alloggiati Web</t>
        </is>
      </c>
      <c r="B5" t="inlineStr">
        <is>
          <t>https://alloggiatiweb.poliziadistato.it/</t>
        </is>
      </c>
      <c r="C5" t="inlineStr">
        <is>
          <t>Regola comunicazione 24h</t>
        </is>
      </c>
    </row>
    <row r="6">
      <c r="A6" t="inlineStr">
        <is>
          <t>Questura di Roma - Alloggiati Web</t>
        </is>
      </c>
      <c r="B6" t="inlineStr">
        <is>
          <t>https://questure.poliziadistato.it/it/Roma/articolo/5730dcf13df51944046396</t>
        </is>
      </c>
      <c r="C6" t="inlineStr">
        <is>
          <t>TULPS art.109, 24h/6h</t>
        </is>
      </c>
    </row>
    <row r="7">
      <c r="A7" t="inlineStr">
        <is>
          <t>European Commission - Cyber Resilience Act</t>
        </is>
      </c>
      <c r="B7" t="inlineStr">
        <is>
          <t>https://digital-strategy.ec.europa.eu/en/policies/cyber-resilience-act</t>
        </is>
      </c>
      <c r="C7" t="inlineStr">
        <is>
          <t>Date CRA</t>
        </is>
      </c>
    </row>
    <row r="8">
      <c r="A8" t="inlineStr">
        <is>
          <t>European Commission - CRA reporting</t>
        </is>
      </c>
      <c r="B8" t="inlineStr">
        <is>
          <t>https://digital-strategy.ec.europa.eu/en/policies/cra-reporting</t>
        </is>
      </c>
      <c r="C8" t="inlineStr">
        <is>
          <t>Segnalazione 24h/72h, SRP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2026-10-13T14:10:19Z</dcterms:created>
  <dcterms:modified xmlns:dcterms="http://purl.org/dc/terms/" xmlns:xsi="http://www.w3.org/2001/XMLSchema-instance" xsi:type="dcterms:W3CDTF">2026-10-13T14:10:19Z</dcterms:modified>
</cp:coreProperties>
</file>