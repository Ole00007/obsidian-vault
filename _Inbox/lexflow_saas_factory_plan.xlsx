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rt Here" sheetId="1" state="visible" r:id="rId1"/>
    <sheet xmlns:r="http://schemas.openxmlformats.org/officeDocument/2006/relationships" name="01 Catalog Data" sheetId="2" state="visible" r:id="rId2"/>
    <sheet xmlns:r="http://schemas.openxmlformats.org/officeDocument/2006/relationships" name="02 Routing Matrix" sheetId="3" state="visible" r:id="rId3"/>
    <sheet xmlns:r="http://schemas.openxmlformats.org/officeDocument/2006/relationships" name="03 Factory Plan" sheetId="4" state="visible" r:id="rId4"/>
    <sheet xmlns:r="http://schemas.openxmlformats.org/officeDocument/2006/relationships" name="04 Cronjobs" sheetId="5" state="visible" r:id="rId5"/>
    <sheet xmlns:r="http://schemas.openxmlformats.org/officeDocument/2006/relationships" name="05 Reliability Cost" sheetId="6" state="visible" r:id="rId6"/>
    <sheet xmlns:r="http://schemas.openxmlformats.org/officeDocument/2006/relationships" name="06 30-Day Rollout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0.00"/>
  </numFmts>
  <fonts count="10">
    <font>
      <name val="Calibri"/>
      <family val="2"/>
      <color theme="1"/>
      <sz val="11"/>
      <scheme val="minor"/>
    </font>
    <font>
      <name val="Calibri"/>
      <b val="1"/>
      <color rgb="000B1F33"/>
      <sz val="18"/>
    </font>
    <font>
      <name val="Calibri"/>
      <color rgb="005B6573"/>
      <sz val="10"/>
    </font>
    <font>
      <name val="Calibri"/>
      <b val="1"/>
      <color rgb="0000B3A4"/>
      <sz val="11"/>
    </font>
    <font>
      <name val="Calibri"/>
      <color rgb="000563C1"/>
      <sz val="10"/>
      <u val="single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563C1"/>
      <sz val="9"/>
      <u val="single"/>
    </font>
    <font>
      <name val="Calibri"/>
      <b val="1"/>
      <color rgb="0000B3A4"/>
      <sz val="13"/>
    </font>
    <font>
      <name val="Calibri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9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3" fontId="9" fillId="3" borderId="0" applyAlignment="1" pivotButton="0" quotePrefix="0" xfId="0">
      <alignment vertical="top" wrapText="1"/>
    </xf>
    <xf numFmtId="9" fontId="9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tartDecisions" displayName="StartDecisions" ref="B14:C22" headerRowCount="1">
  <autoFilter ref="B14:C22"/>
  <tableColumns count="2">
    <tableColumn id="2" name="Decision"/>
    <tableColumn id="3" name="Your operating standard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QuickStart" displayName="QuickStart" ref="B25:C32" headerRowCount="1">
  <autoFilter ref="B25:C32"/>
  <tableColumns count="2">
    <tableColumn id="2" name="When"/>
    <tableColumn id="3" name="Act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PromoCatalog" displayName="PromoCatalog" ref="B6:I32" headerRowCount="1">
  <autoFilter ref="B6:I32"/>
  <tableColumns count="8">
    <tableColumn id="2" name="Promo model"/>
    <tableColumn id="3" name="Model ID"/>
    <tableColumn id="4" name="Input $/1M"/>
    <tableColumn id="5" name="Output $/1M"/>
    <tableColumn id="6" name="List input"/>
    <tableColumn id="7" name="List output"/>
    <tableColumn id="8" name="Discount"/>
    <tableColumn id="9" name="Blended cost: 5M in + 1M ou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FreeCatalog" displayName="FreeCatalog" ref="B35:E42" headerRowCount="1">
  <autoFilter ref="B35:E42"/>
  <tableColumns count="4">
    <tableColumn id="2" name="Free model"/>
    <tableColumn id="3" name="Access"/>
    <tableColumn id="4" name="Deployment note"/>
    <tableColumn id="5" name="Data boundary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PageOneCatalog" displayName="PageOneCatalog" ref="B45:H95" headerRowCount="1">
  <autoFilter ref="B45:H95"/>
  <tableColumns count="7">
    <tableColumn id="2" name="Rank shown"/>
    <tableColumn id="3" name="Model"/>
    <tableColumn id="4" name="Type"/>
    <tableColumn id="5" name="Access"/>
    <tableColumn id="6" name="Input $/1M"/>
    <tableColumn id="7" name="Output $/1M"/>
    <tableColumn id="8" name="Discount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RoutingMatrix" displayName="RoutingMatrix" ref="B6:I20" headerRowCount="1">
  <autoFilter ref="B6:I20"/>
  <tableColumns count="8">
    <tableColumn id="2" name="Task"/>
    <tableColumn id="3" name="Output"/>
    <tableColumn id="4" name="Free/no-agent lane"/>
    <tableColumn id="5" name="Primary promo/paid"/>
    <tableColumn id="6" name="Escalation"/>
    <tableColumn id="7" name="Free-lane data"/>
    <tableColumn id="8" name="Non-negotiable gate"/>
    <tableColumn id="9" name="Fit confidence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FactoryStages" displayName="FactoryStages" ref="B6:K12" headerRowCount="1">
  <autoFilter ref="B6:K12"/>
  <tableColumns count="10">
    <tableColumn id="2" name="Stage"/>
    <tableColumn id="3" name="Markdown control"/>
    <tableColumn id="4" name="Model"/>
    <tableColumn id="5" name="Copy-paste instruction/command"/>
    <tableColumn id="6" name="Done when"/>
    <tableColumn id="7" name="Human gate"/>
    <tableColumn id="8" name="Time"/>
    <tableColumn id="9" name="Gain"/>
    <tableColumn id="10" name="Risk"/>
    <tableColumn id="11" name="Mitigation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MarkdownPack" displayName="MarkdownPack" ref="B15:C22" headerRowCount="1">
  <autoFilter ref="B15:C22"/>
  <tableColumns count="2">
    <tableColumn id="2" name="File"/>
    <tableColumn id="3" name="Required content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CronPlan" displayName="CronPlan" ref="B6:I15" headerRowCount="1">
  <autoFilter ref="B6:I15"/>
  <tableColumns count="8">
    <tableColumn id="2" name="Job"/>
    <tableColumn id="3" name="Schedule"/>
    <tableColumn id="4" name="Deterministic stage"/>
    <tableColumn id="5" name="Model stage"/>
    <tableColumn id="6" name="Silence/output rule"/>
    <tableColumn id="7" name="Permission boundary"/>
    <tableColumn id="8" name="Setup time"/>
    <tableColumn id="9" name="Priority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CronCommands" displayName="CronCommands" ref="B18:C24" headerRowCount="1">
  <autoFilter ref="B18:C24"/>
  <tableColumns count="2">
    <tableColumn id="2" name="Action"/>
    <tableColumn id="3" name="Copy-paste command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ReliabilityCompare" displayName="ReliabilityCompare" ref="B6:E13" headerRowCount="1">
  <autoFilter ref="B6:E13"/>
  <tableColumns count="4">
    <tableColumn id="2" name="Dimension"/>
    <tableColumn id="3" name="Nous / free stack"/>
    <tableColumn id="4" name="Claude"/>
    <tableColumn id="5" name="Decision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CostScenario" displayName="CostScenario" ref="B22:F29" headerRowCount="1">
  <autoFilter ref="B22:F29"/>
  <tableColumns count="5">
    <tableColumn id="2" name="Route"/>
    <tableColumn id="3" name="Input $/1M"/>
    <tableColumn id="4" name="Output $/1M"/>
    <tableColumn id="5" name="100-task batch $"/>
    <tableColumn id="6" name="Use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ReliabilityControls" displayName="ReliabilityControls" ref="B32:C38" headerRowCount="1">
  <autoFilter ref="B32:C38"/>
  <tableColumns count="2">
    <tableColumn id="2" name="Control"/>
    <tableColumn id="3" name="Implementation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RolloutPlan" displayName="RolloutPlan" ref="B6:H16" headerRowCount="1">
  <autoFilter ref="B6:H16"/>
  <tableColumns count="7">
    <tableColumn id="2" name="When"/>
    <tableColumn id="3" name="Action"/>
    <tableColumn id="4" name="Deliverable"/>
    <tableColumn id="5" name="Time"/>
    <tableColumn id="6" name="Model/cost lane"/>
    <tableColumn id="7" name="Main risk"/>
    <tableColumn id="8" name="Mitigation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KPIPlan" displayName="KPIPlan" ref="B19:E26" headerRowCount="1">
  <autoFilter ref="B19:E26"/>
  <tableColumns count="4">
    <tableColumn id="2" name="KPI"/>
    <tableColumn id="3" name="Definition"/>
    <tableColumn id="4" name="30-day gate"/>
    <tableColumn id="5" name="Cadenc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ortal.nousresearch.com/models" TargetMode="Externa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04" customWidth="1" min="3" max="3"/>
  </cols>
  <sheetData>
    <row r="1"/>
    <row r="2" ht="28" customHeight="1">
      <c r="B2" s="1" t="inlineStr">
        <is>
          <t>LexFlow SaaS Software Factory</t>
        </is>
      </c>
    </row>
    <row r="3" ht="34" customHeight="1">
      <c r="B3" s="2" t="inlineStr">
        <is>
          <t>A free-first, evidence-gated implementation plan adapted from Ras Mic’s Isolate → Build → Prove → Ship method and your actual CRM, SEO, Obsidian, Airtable, deployment and cron work.</t>
        </is>
      </c>
    </row>
    <row r="4"/>
    <row r="5">
      <c r="B5" s="3" t="inlineStr">
        <is>
          <t>Workbook index</t>
        </is>
      </c>
    </row>
    <row r="6">
      <c r="B6" s="4" t="inlineStr">
        <is>
          <t>00 Start Here</t>
        </is>
      </c>
    </row>
    <row r="7">
      <c r="B7" s="4" t="inlineStr">
        <is>
          <t>01 Catalog Data</t>
        </is>
      </c>
    </row>
    <row r="8">
      <c r="B8" s="4" t="inlineStr">
        <is>
          <t>02 Routing Matrix</t>
        </is>
      </c>
    </row>
    <row r="9">
      <c r="B9" s="4" t="inlineStr">
        <is>
          <t>03 Factory Plan</t>
        </is>
      </c>
    </row>
    <row r="10">
      <c r="B10" s="4" t="inlineStr">
        <is>
          <t>04 Cronjobs</t>
        </is>
      </c>
    </row>
    <row r="11">
      <c r="B11" s="4" t="inlineStr">
        <is>
          <t>05 Reliability Cost</t>
        </is>
      </c>
    </row>
    <row r="12">
      <c r="B12" s="4" t="inlineStr">
        <is>
          <t>06 30-Day Rollout</t>
        </is>
      </c>
    </row>
    <row r="13"/>
    <row r="14" ht="36" customHeight="1">
      <c r="B14" s="5" t="inlineStr">
        <is>
          <t>Decision</t>
        </is>
      </c>
      <c r="C14" s="5" t="inlineStr">
        <is>
          <t>Your operating standard</t>
        </is>
      </c>
    </row>
    <row r="15" ht="36" customHeight="1">
      <c r="B15" s="6" t="inlineStr">
        <is>
          <t>Objective</t>
        </is>
      </c>
      <c r="C15" s="6" t="inlineStr">
        <is>
          <t>Finish LexFlow safely while reducing AI spend and avoiding blocked work from API/OAuth failures.</t>
        </is>
      </c>
    </row>
    <row r="16" ht="36" customHeight="1">
      <c r="B16" s="6" t="inlineStr">
        <is>
          <t>Factory rule</t>
        </is>
      </c>
      <c r="C16" s="6" t="inlineStr">
        <is>
          <t>Never build on main. One task = one brief + one worktree + one branch + one evidence bundle + one PR.</t>
        </is>
      </c>
    </row>
    <row r="17" ht="36" customHeight="1">
      <c r="B17" s="6" t="inlineStr">
        <is>
          <t>Model rule</t>
        </is>
      </c>
      <c r="C17" s="6" t="inlineStr">
        <is>
          <t>No-agent script first → FREE model for sanitized low-risk work → promo model for build → Claude/premium only for critical review.</t>
        </is>
      </c>
    </row>
    <row r="18" ht="36" customHeight="1">
      <c r="B18" s="6" t="inlineStr">
        <is>
          <t>Permission rule</t>
        </is>
      </c>
      <c r="C18" s="6" t="inlineStr">
        <is>
          <t>Agents may not write CRM/Airtable, send email, change personal appointments, merge, or deploy production without explicit approval.</t>
        </is>
      </c>
    </row>
    <row r="19" ht="36" customHeight="1">
      <c r="B19" s="6" t="inlineStr">
        <is>
          <t>Privacy rule</t>
        </is>
      </c>
      <c r="C19" s="6" t="inlineStr">
        <is>
          <t>No legal-client content, OAuth tokens, calendar bodies, private notes or production data in anonymous/rotating free models.</t>
        </is>
      </c>
    </row>
    <row r="20" ht="36" customHeight="1">
      <c r="B20" s="6" t="inlineStr">
        <is>
          <t>Reliability rule</t>
        </is>
      </c>
      <c r="C20" s="6" t="inlineStr">
        <is>
          <t>Every agent job has timeout, retry cap, preflight, checkpoint, fallback provider and resumable worktree.</t>
        </is>
      </c>
    </row>
    <row r="21" ht="36" customHeight="1">
      <c r="B21" s="6" t="inlineStr">
        <is>
          <t>Initial capacity</t>
        </is>
      </c>
      <c r="C21" s="6" t="inlineStr">
        <is>
          <t>Start with 2 parallel worktrees; rise to 4 after 10 clean PRs. Do not copy the podcast’s 15-agent scale immediately.</t>
        </is>
      </c>
    </row>
    <row r="22" ht="36" customHeight="1">
      <c r="B22" s="6" t="inlineStr">
        <is>
          <t>Completion target</t>
        </is>
      </c>
      <c r="C22" s="6" t="inlineStr">
        <is>
          <t>7 days to install the factory; 30 days to validate it on 10–20 real CRM tasks.</t>
        </is>
      </c>
    </row>
    <row r="23"/>
    <row r="24"/>
    <row r="25" ht="36" customHeight="1">
      <c r="B25" s="5" t="inlineStr">
        <is>
          <t>When</t>
        </is>
      </c>
      <c r="C25" s="5" t="inlineStr">
        <is>
          <t>Action</t>
        </is>
      </c>
    </row>
    <row r="26" ht="34" customHeight="1">
      <c r="B26" s="6" t="inlineStr">
        <is>
          <t>Day 1</t>
        </is>
      </c>
      <c r="C26" s="6" t="inlineStr">
        <is>
          <t>Create six markdown control files and protected main branch</t>
        </is>
      </c>
    </row>
    <row r="27" ht="34" customHeight="1">
      <c r="B27" s="6" t="inlineStr">
        <is>
          <t>Day 2</t>
        </is>
      </c>
      <c r="C27" s="6" t="inlineStr">
        <is>
          <t>Install/test worktree command and one small feature</t>
        </is>
      </c>
    </row>
    <row r="28" ht="34" customHeight="1">
      <c r="B28" s="6" t="inlineStr">
        <is>
          <t>Day 3</t>
        </is>
      </c>
      <c r="C28" s="6" t="inlineStr">
        <is>
          <t>Add deterministic tests and before/after evidence</t>
        </is>
      </c>
    </row>
    <row r="29" ht="34" customHeight="1">
      <c r="B29" s="6" t="inlineStr">
        <is>
          <t>Day 4</t>
        </is>
      </c>
      <c r="C29" s="6" t="inlineStr">
        <is>
          <t>Add independent review and PR template</t>
        </is>
      </c>
    </row>
    <row r="30" ht="34" customHeight="1">
      <c r="B30" s="6" t="inlineStr">
        <is>
          <t>Day 5</t>
        </is>
      </c>
      <c r="C30" s="6" t="inlineStr">
        <is>
          <t>Deploy no-agent health/backup/credit cronjobs</t>
        </is>
      </c>
    </row>
    <row r="31" ht="34" customHeight="1">
      <c r="B31" s="6" t="inlineStr">
        <is>
          <t>Days 6–7</t>
        </is>
      </c>
      <c r="C31" s="6" t="inlineStr">
        <is>
          <t>Run two parallel low-risk tickets</t>
        </is>
      </c>
    </row>
    <row r="32" ht="34" customHeight="1">
      <c r="B32" s="6" t="inlineStr">
        <is>
          <t>Weeks 2–4</t>
        </is>
      </c>
      <c r="C32" s="6" t="inlineStr">
        <is>
          <t>Measure cost, cycle time, escaped defects and provider failures; tune routing</t>
        </is>
      </c>
    </row>
  </sheetData>
  <mergeCells count="2">
    <mergeCell ref="B3:K3"/>
    <mergeCell ref="B2:K2"/>
  </mergeCells>
  <hyperlinks>
    <hyperlink ref="B6" location="'00 Start Here'!B2"/>
    <hyperlink ref="B7" location="'01 Catalog Data'!B2"/>
    <hyperlink ref="B8" location="'02 Routing Matrix'!B2"/>
    <hyperlink ref="B9" location="'03 Factory Plan'!B2"/>
    <hyperlink ref="B10" location="'04 Cronjobs'!B2"/>
    <hyperlink ref="B11" location="'05 Reliability Cost'!B2"/>
    <hyperlink ref="B12" location="'06 30-Day Rollout'!B2"/>
  </hyperlinks>
  <pageMargins left="0.75" right="0.75" top="1" bottom="1" header="0.5" footer="0.5"/>
  <pageSetup orientation="landscape" fitToHeight="0" fitToWidth="1"/>
  <headerFooter>
    <oddHeader/>
    <oddFooter>&amp;CGenerated 2026-09-15 | Nous prices change live; verify before deployment&amp;RPage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7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41" customWidth="1" min="3" max="3"/>
    <col width="13" customWidth="1" min="4" max="4"/>
    <col width="14" customWidth="1" min="5" max="5"/>
    <col width="16" customWidth="1" min="6" max="6"/>
    <col width="17" customWidth="1" min="7" max="7"/>
    <col width="13" customWidth="1" min="8" max="8"/>
    <col width="22" customWidth="1" min="9" max="9"/>
  </cols>
  <sheetData>
    <row r="1"/>
    <row r="2" ht="28" customHeight="1">
      <c r="B2" s="1" t="inlineStr">
        <is>
          <t>Nous catalog snapshot</t>
        </is>
      </c>
    </row>
    <row r="3" ht="34" customHeight="1">
      <c r="B3" s="2" t="inlineStr">
        <is>
          <t>User-provided live snapshot, 2026-09-15. Includes every active promo, every named free model, and every row shown on page 1 of 7 (1–50 of 322). Prices: USD per 1M tokens.</t>
        </is>
      </c>
    </row>
    <row r="4"/>
    <row r="5"/>
    <row r="6" ht="36" customHeight="1">
      <c r="B6" s="5" t="inlineStr">
        <is>
          <t>Promo model</t>
        </is>
      </c>
      <c r="C6" s="5" t="inlineStr">
        <is>
          <t>Model ID</t>
        </is>
      </c>
      <c r="D6" s="5" t="inlineStr">
        <is>
          <t>Input $/1M</t>
        </is>
      </c>
      <c r="E6" s="5" t="inlineStr">
        <is>
          <t>Output $/1M</t>
        </is>
      </c>
      <c r="F6" s="5" t="inlineStr">
        <is>
          <t>List input</t>
        </is>
      </c>
      <c r="G6" s="5" t="inlineStr">
        <is>
          <t>List output</t>
        </is>
      </c>
      <c r="H6" s="5" t="inlineStr">
        <is>
          <t>Discount</t>
        </is>
      </c>
      <c r="I6" s="5" t="inlineStr">
        <is>
          <t>Blended cost: 5M in + 1M out</t>
        </is>
      </c>
    </row>
    <row r="7" ht="30" customHeight="1">
      <c r="B7" s="6" t="inlineStr">
        <is>
          <t>Inception: Mercury 2.5</t>
        </is>
      </c>
      <c r="C7" s="6" t="inlineStr">
        <is>
          <t>inception/mercury-2.5</t>
        </is>
      </c>
      <c r="D7" s="7" t="n">
        <v>0.04</v>
      </c>
      <c r="E7" s="7" t="n">
        <v>0.15</v>
      </c>
      <c r="F7" s="7" t="n">
        <v>0.2</v>
      </c>
      <c r="G7" s="7" t="n">
        <v>0.75</v>
      </c>
      <c r="H7" s="8" t="n">
        <v>0.8</v>
      </c>
      <c r="I7" s="7">
        <f>IF(OR(C7="",D7=""),"",C7*5+D7)</f>
        <v/>
      </c>
    </row>
    <row r="8" ht="30" customHeight="1">
      <c r="B8" s="6" t="inlineStr">
        <is>
          <t>Qwen: Qwen3 Coder 480B A35B</t>
        </is>
      </c>
      <c r="C8" s="6" t="inlineStr">
        <is>
          <t>qwen/qwen3-coder</t>
        </is>
      </c>
      <c r="D8" s="7" t="n">
        <v>0.22</v>
      </c>
      <c r="E8" s="7" t="n">
        <v>1.8</v>
      </c>
      <c r="F8" s="7" t="n">
        <v>0.97</v>
      </c>
      <c r="G8" s="7" t="n">
        <v>4.88</v>
      </c>
      <c r="H8" s="8" t="n">
        <v>0.77</v>
      </c>
      <c r="I8" s="7">
        <f>IF(OR(C8="",D8=""),"",C8*5+D8)</f>
        <v/>
      </c>
    </row>
    <row r="9" ht="30" customHeight="1">
      <c r="B9" s="6" t="inlineStr">
        <is>
          <t>Qwen: Qwen3 Coder 30B A3B Instruct</t>
        </is>
      </c>
      <c r="C9" s="6" t="inlineStr">
        <is>
          <t>qwen/qwen3-coder-30b-a3b-instruct</t>
        </is>
      </c>
      <c r="D9" s="7" t="n">
        <v>0.07000000000000001</v>
      </c>
      <c r="E9" s="7" t="n">
        <v>0.27</v>
      </c>
      <c r="F9" s="7" t="n">
        <v>0.29</v>
      </c>
      <c r="G9" s="7" t="n">
        <v>1.46</v>
      </c>
      <c r="H9" s="8" t="n">
        <v>0.76</v>
      </c>
      <c r="I9" s="7">
        <f>IF(OR(C9="",D9=""),"",C9*5+D9)</f>
        <v/>
      </c>
    </row>
    <row r="10" ht="30" customHeight="1">
      <c r="B10" s="6" t="inlineStr">
        <is>
          <t>Google: Gemma 4 26B A4B</t>
        </is>
      </c>
      <c r="C10" s="6" t="inlineStr">
        <is>
          <t>google/gemma-4-26b-a4b-it</t>
        </is>
      </c>
      <c r="D10" s="7" t="n">
        <v>0.04</v>
      </c>
      <c r="E10" s="7" t="n">
        <v>0.22</v>
      </c>
      <c r="F10" s="7" t="n">
        <v>0.15</v>
      </c>
      <c r="G10" s="7" t="n">
        <v>0.6</v>
      </c>
      <c r="H10" s="8" t="n">
        <v>0.72</v>
      </c>
      <c r="I10" s="7">
        <f>IF(OR(C10="",D10=""),"",C10*5+D10)</f>
        <v/>
      </c>
    </row>
    <row r="11" ht="30" customHeight="1">
      <c r="B11" s="6" t="inlineStr">
        <is>
          <t>Upstage: Solar Pro 4</t>
        </is>
      </c>
      <c r="C11" s="6" t="inlineStr">
        <is>
          <t>upstage/solar-pro4</t>
        </is>
      </c>
      <c r="D11" s="7" t="n">
        <v>0.09</v>
      </c>
      <c r="E11" s="7" t="n">
        <v>0.36</v>
      </c>
      <c r="F11" s="7" t="n">
        <v>0.3</v>
      </c>
      <c r="G11" s="7" t="n">
        <v>1.2</v>
      </c>
      <c r="H11" s="8" t="n">
        <v>0.7</v>
      </c>
      <c r="I11" s="7">
        <f>IF(OR(C11="",D11=""),"",C11*5+D11)</f>
        <v/>
      </c>
    </row>
    <row r="12" ht="30" customHeight="1">
      <c r="B12" s="6" t="inlineStr">
        <is>
          <t>Qwen: Qwen3.8 27B</t>
        </is>
      </c>
      <c r="C12" s="6" t="inlineStr">
        <is>
          <t>qwen/qwen3.8-27b</t>
        </is>
      </c>
      <c r="D12" s="7" t="n">
        <v>0.15</v>
      </c>
      <c r="E12" s="7" t="n">
        <v>1.88</v>
      </c>
      <c r="F12" s="7" t="n">
        <v>0.42</v>
      </c>
      <c r="G12" s="7" t="n">
        <v>2.55</v>
      </c>
      <c r="H12" s="8" t="n">
        <v>0.65</v>
      </c>
      <c r="I12" s="7">
        <f>IF(OR(C12="",D12=""),"",C12*5+D12)</f>
        <v/>
      </c>
    </row>
    <row r="13" ht="30" customHeight="1">
      <c r="B13" s="6" t="inlineStr">
        <is>
          <t>Qwen: Qwen3 30B A3B Instruct 2507</t>
        </is>
      </c>
      <c r="C13" s="6" t="inlineStr">
        <is>
          <t>qwen/qwen3-30b-a3b-instruct-2507</t>
        </is>
      </c>
      <c r="D13" s="7" t="n">
        <v>0.05</v>
      </c>
      <c r="E13" s="7" t="n">
        <v>0.19</v>
      </c>
      <c r="F13" s="7" t="n">
        <v>0.13</v>
      </c>
      <c r="G13" s="7" t="n">
        <v>0.52</v>
      </c>
      <c r="H13" s="8" t="n">
        <v>0.63</v>
      </c>
      <c r="I13" s="7">
        <f>IF(OR(C13="",D13=""),"",C13*5+D13)</f>
        <v/>
      </c>
    </row>
    <row r="14" ht="30" customHeight="1">
      <c r="B14" s="6" t="inlineStr">
        <is>
          <t>Qwen: Qwen3 Coder Next</t>
        </is>
      </c>
      <c r="C14" s="6" t="inlineStr">
        <is>
          <t>qwen/qwen3-coder-next</t>
        </is>
      </c>
      <c r="D14" s="7" t="n">
        <v>0.12</v>
      </c>
      <c r="E14" s="7" t="n">
        <v>0.8</v>
      </c>
      <c r="F14" s="7" t="n">
        <v>0.3</v>
      </c>
      <c r="G14" s="7" t="n">
        <v>1.5</v>
      </c>
      <c r="H14" s="8" t="n">
        <v>0.6</v>
      </c>
      <c r="I14" s="7">
        <f>IF(OR(C14="",D14=""),"",C14*5+D14)</f>
        <v/>
      </c>
    </row>
    <row r="15" ht="30" customHeight="1">
      <c r="B15" s="6" t="inlineStr">
        <is>
          <t>Qwen: Qwen3 14B</t>
        </is>
      </c>
      <c r="C15" s="6" t="inlineStr">
        <is>
          <t>qwen/qwen3-14b</t>
        </is>
      </c>
      <c r="D15" s="7" t="n">
        <v>0.1</v>
      </c>
      <c r="E15" s="7" t="n">
        <v>0.22</v>
      </c>
      <c r="F15" s="7" t="n">
        <v>0.23</v>
      </c>
      <c r="G15" s="7" t="n">
        <v>0.91</v>
      </c>
      <c r="H15" s="8" t="n">
        <v>0.5600000000000001</v>
      </c>
      <c r="I15" s="7">
        <f>IF(OR(C15="",D15=""),"",C15*5+D15)</f>
        <v/>
      </c>
    </row>
    <row r="16" ht="30" customHeight="1">
      <c r="B16" s="6" t="inlineStr">
        <is>
          <t>Qwen: Qwen3.5-35B-A3B</t>
        </is>
      </c>
      <c r="C16" s="6" t="inlineStr">
        <is>
          <t>qwen/qwen3.5-35b-a3b</t>
        </is>
      </c>
      <c r="D16" s="7" t="n">
        <v>0.08</v>
      </c>
      <c r="E16" s="7" t="n">
        <v>0.75</v>
      </c>
      <c r="F16" s="7" t="n">
        <v>0.16</v>
      </c>
      <c r="G16" s="7" t="n">
        <v>1.3</v>
      </c>
      <c r="H16" s="8" t="n">
        <v>0.51</v>
      </c>
      <c r="I16" s="7">
        <f>IF(OR(C16="",D16=""),"",C16*5+D16)</f>
        <v/>
      </c>
    </row>
    <row r="17" ht="30" customHeight="1">
      <c r="B17" s="6" t="inlineStr">
        <is>
          <t>DeepSeek: DeepSeek V4.1 Flash</t>
        </is>
      </c>
      <c r="C17" s="6" t="inlineStr">
        <is>
          <t>deepseek/deepseek-v4.1-flash</t>
        </is>
      </c>
      <c r="D17" s="7" t="n">
        <v>0.15</v>
      </c>
      <c r="E17" s="7" t="n">
        <v>0.6</v>
      </c>
      <c r="F17" s="7" t="n">
        <v>0.3</v>
      </c>
      <c r="G17" s="7" t="n">
        <v>1.2</v>
      </c>
      <c r="H17" s="8" t="n">
        <v>0.5</v>
      </c>
      <c r="I17" s="7">
        <f>IF(OR(C17="",D17=""),"",C17*5+D17)</f>
        <v/>
      </c>
    </row>
    <row r="18" ht="30" customHeight="1">
      <c r="B18" s="6" t="inlineStr">
        <is>
          <t>Google: Gemini 3.8 Flash</t>
        </is>
      </c>
      <c r="C18" s="6" t="inlineStr">
        <is>
          <t>google/gemini-3.8-flash</t>
        </is>
      </c>
      <c r="D18" s="7" t="n">
        <v>0.75</v>
      </c>
      <c r="E18" s="7" t="n">
        <v>3.75</v>
      </c>
      <c r="F18" s="7" t="n">
        <v>1.5</v>
      </c>
      <c r="G18" s="7" t="n">
        <v>7.5</v>
      </c>
      <c r="H18" s="8" t="n">
        <v>0.5</v>
      </c>
      <c r="I18" s="7">
        <f>IF(OR(C18="",D18=""),"",C18*5+D18)</f>
        <v/>
      </c>
    </row>
    <row r="19" ht="30" customHeight="1">
      <c r="B19" s="6" t="inlineStr">
        <is>
          <t>Z.ai: GLM 5.3 Flash</t>
        </is>
      </c>
      <c r="C19" s="6" t="inlineStr">
        <is>
          <t>z-ai/glm-5.3-flash</t>
        </is>
      </c>
      <c r="D19" s="7" t="n">
        <v>0.07000000000000001</v>
      </c>
      <c r="E19" s="7" t="n">
        <v>0.25</v>
      </c>
      <c r="F19" s="7" t="n">
        <v>0.15</v>
      </c>
      <c r="G19" s="7" t="n">
        <v>0.5</v>
      </c>
      <c r="H19" s="8" t="n">
        <v>0.5</v>
      </c>
      <c r="I19" s="7">
        <f>IF(OR(C19="",D19=""),"",C19*5+D19)</f>
        <v/>
      </c>
    </row>
    <row r="20" ht="30" customHeight="1">
      <c r="B20" s="6" t="inlineStr">
        <is>
          <t>Google: Gemini 3.7 Flash</t>
        </is>
      </c>
      <c r="C20" s="6" t="inlineStr">
        <is>
          <t>google/gemini-3.7-flash</t>
        </is>
      </c>
      <c r="D20" s="7" t="n">
        <v>0.75</v>
      </c>
      <c r="E20" s="7" t="n">
        <v>3.75</v>
      </c>
      <c r="F20" s="7" t="n">
        <v>1.5</v>
      </c>
      <c r="G20" s="7" t="n">
        <v>7.5</v>
      </c>
      <c r="H20" s="8" t="n">
        <v>0.5</v>
      </c>
      <c r="I20" s="7">
        <f>IF(OR(C20="",D20=""),"",C20*5+D20)</f>
        <v/>
      </c>
    </row>
    <row r="21" ht="30" customHeight="1">
      <c r="B21" s="6" t="inlineStr">
        <is>
          <t>OpenAI: GPT-5.6 Sol Pro</t>
        </is>
      </c>
      <c r="C21" s="6" t="inlineStr">
        <is>
          <t>openai/gpt-5.6-sol-pro</t>
        </is>
      </c>
      <c r="D21" s="7" t="n">
        <v>2</v>
      </c>
      <c r="E21" s="7" t="n">
        <v>10</v>
      </c>
      <c r="F21" s="7" t="n">
        <v>4</v>
      </c>
      <c r="G21" s="7" t="n">
        <v>20</v>
      </c>
      <c r="H21" s="8" t="n">
        <v>0.5</v>
      </c>
      <c r="I21" s="7">
        <f>IF(OR(C21="",D21=""),"",C21*5+D21)</f>
        <v/>
      </c>
    </row>
    <row r="22" ht="30" customHeight="1">
      <c r="B22" s="6" t="inlineStr">
        <is>
          <t>OpenAI: GPT-5.6 Sol</t>
        </is>
      </c>
      <c r="C22" s="6" t="inlineStr">
        <is>
          <t>openai/gpt-5.6-sol</t>
        </is>
      </c>
      <c r="D22" s="7" t="n">
        <v>2</v>
      </c>
      <c r="E22" s="7" t="n">
        <v>10</v>
      </c>
      <c r="F22" s="7" t="n">
        <v>4</v>
      </c>
      <c r="G22" s="7" t="n">
        <v>20</v>
      </c>
      <c r="H22" s="8" t="n">
        <v>0.5</v>
      </c>
      <c r="I22" s="7">
        <f>IF(OR(C22="",D22=""),"",C22*5+D22)</f>
        <v/>
      </c>
    </row>
    <row r="23" ht="30" customHeight="1">
      <c r="B23" s="6" t="inlineStr">
        <is>
          <t>Qwen: Qwen3 235B A22B Instruct 2507</t>
        </is>
      </c>
      <c r="C23" s="6" t="inlineStr">
        <is>
          <t>qwen/qwen3-235b-a22b-2507</t>
        </is>
      </c>
      <c r="D23" s="7" t="n">
        <v>0.09</v>
      </c>
      <c r="E23" s="7" t="n">
        <v>0.35</v>
      </c>
      <c r="F23" s="7" t="n">
        <v>0.15</v>
      </c>
      <c r="G23" s="7" t="n">
        <v>0.6</v>
      </c>
      <c r="H23" s="8" t="n">
        <v>0.41</v>
      </c>
      <c r="I23" s="7">
        <f>IF(OR(C23="",D23=""),"",C23*5+D23)</f>
        <v/>
      </c>
    </row>
    <row r="24" ht="30" customHeight="1">
      <c r="B24" s="6" t="inlineStr">
        <is>
          <t>Poolside: Laguna XS 2.1</t>
        </is>
      </c>
      <c r="C24" s="6" t="inlineStr">
        <is>
          <t>poolside/laguna-xs-2.1</t>
        </is>
      </c>
      <c r="D24" s="7" t="n">
        <v>0.06</v>
      </c>
      <c r="E24" s="7" t="n">
        <v>0.12</v>
      </c>
      <c r="F24" s="7" t="n">
        <v>0.1</v>
      </c>
      <c r="G24" s="7" t="n">
        <v>0.2</v>
      </c>
      <c r="H24" s="8" t="n">
        <v>0.4</v>
      </c>
      <c r="I24" s="7">
        <f>IF(OR(C24="",D24=""),"",C24*5+D24)</f>
        <v/>
      </c>
    </row>
    <row r="25" ht="30" customHeight="1">
      <c r="B25" s="6" t="inlineStr">
        <is>
          <t>MoonshotAI: Kimi K2.6</t>
        </is>
      </c>
      <c r="C25" s="6" t="inlineStr">
        <is>
          <t>moonshotai/kimi-k2.6</t>
        </is>
      </c>
      <c r="D25" s="7" t="n">
        <v>0.57</v>
      </c>
      <c r="E25" s="7" t="n">
        <v>2.4</v>
      </c>
      <c r="F25" s="7" t="n">
        <v>0.95</v>
      </c>
      <c r="G25" s="7" t="n">
        <v>4</v>
      </c>
      <c r="H25" s="8" t="n">
        <v>0.4</v>
      </c>
      <c r="I25" s="7">
        <f>IF(OR(C25="",D25=""),"",C25*5+D25)</f>
        <v/>
      </c>
    </row>
    <row r="26" ht="30" customHeight="1">
      <c r="B26" s="6" t="inlineStr">
        <is>
          <t>Z.ai: GLM 5</t>
        </is>
      </c>
      <c r="C26" s="6" t="inlineStr">
        <is>
          <t>z-ai/glm-5</t>
        </is>
      </c>
      <c r="D26" s="7" t="n">
        <v>0.6</v>
      </c>
      <c r="E26" s="7" t="n">
        <v>1.92</v>
      </c>
      <c r="F26" s="7" t="n">
        <v>1</v>
      </c>
      <c r="G26" s="7" t="n">
        <v>3.2</v>
      </c>
      <c r="H26" s="8" t="n">
        <v>0.4</v>
      </c>
      <c r="I26" s="7">
        <f>IF(OR(C26="",D26=""),"",C26*5+D26)</f>
        <v/>
      </c>
    </row>
    <row r="27" ht="30" customHeight="1">
      <c r="B27" s="6" t="inlineStr">
        <is>
          <t>Z.ai: GLM 5.3</t>
        </is>
      </c>
      <c r="C27" s="6" t="inlineStr">
        <is>
          <t>z-ai/glm-5.3</t>
        </is>
      </c>
      <c r="D27" s="7" t="n">
        <v>0.88</v>
      </c>
      <c r="E27" s="7" t="n">
        <v>2.97</v>
      </c>
      <c r="F27" s="7" t="n">
        <v>1.4</v>
      </c>
      <c r="G27" s="7" t="n">
        <v>4.4</v>
      </c>
      <c r="H27" s="8" t="n">
        <v>0.37</v>
      </c>
      <c r="I27" s="7">
        <f>IF(OR(C27="",D27=""),"",C27*5+D27)</f>
        <v/>
      </c>
    </row>
    <row r="28" ht="30" customHeight="1">
      <c r="B28" s="6" t="inlineStr">
        <is>
          <t>MoonshotAI: Kimi K3</t>
        </is>
      </c>
      <c r="C28" s="6" t="inlineStr">
        <is>
          <t>moonshotai/kimi-k3</t>
        </is>
      </c>
      <c r="D28" s="7" t="n">
        <v>2</v>
      </c>
      <c r="E28" s="7" t="n">
        <v>11.2</v>
      </c>
      <c r="F28" s="7" t="n">
        <v>3</v>
      </c>
      <c r="G28" s="7" t="n">
        <v>15</v>
      </c>
      <c r="H28" s="8" t="n">
        <v>0.33</v>
      </c>
      <c r="I28" s="7">
        <f>IF(OR(C28="",D28=""),"",C28*5+D28)</f>
        <v/>
      </c>
    </row>
    <row r="29" ht="30" customHeight="1">
      <c r="B29" s="6" t="inlineStr">
        <is>
          <t>Qwen: Qwen3.6 27B</t>
        </is>
      </c>
      <c r="C29" s="6" t="inlineStr">
        <is>
          <t>qwen/qwen3.6-27b</t>
        </is>
      </c>
      <c r="D29" s="7" t="n">
        <v>0.3</v>
      </c>
      <c r="E29" s="7" t="n">
        <v>2</v>
      </c>
      <c r="F29" s="7" t="n">
        <v>0.45</v>
      </c>
      <c r="G29" s="7" t="n">
        <v>2.7</v>
      </c>
      <c r="H29" s="8" t="n">
        <v>0.33</v>
      </c>
      <c r="I29" s="7">
        <f>IF(OR(C29="",D29=""),"",C29*5+D29)</f>
        <v/>
      </c>
    </row>
    <row r="30" ht="30" customHeight="1">
      <c r="B30" s="6" t="inlineStr">
        <is>
          <t>Z.ai: GLM 5.1</t>
        </is>
      </c>
      <c r="C30" s="6" t="inlineStr">
        <is>
          <t>z-ai/glm-5.1</t>
        </is>
      </c>
      <c r="D30" s="7" t="n">
        <v>0.97</v>
      </c>
      <c r="E30" s="7" t="n">
        <v>3.04</v>
      </c>
      <c r="F30" s="7" t="n">
        <v>1.4</v>
      </c>
      <c r="G30" s="7" t="n">
        <v>4.4</v>
      </c>
      <c r="H30" s="8" t="n">
        <v>0.31</v>
      </c>
      <c r="I30" s="7">
        <f>IF(OR(C30="",D30=""),"",C30*5+D30)</f>
        <v/>
      </c>
    </row>
    <row r="31" ht="30" customHeight="1">
      <c r="B31" s="6" t="inlineStr">
        <is>
          <t>Xiaomi: MiMo-V2.5-Pro</t>
        </is>
      </c>
      <c r="C31" s="6" t="inlineStr">
        <is>
          <t>xiaomi/mimo-v2.5-pro</t>
        </is>
      </c>
      <c r="D31" s="7" t="n">
        <v>0.3</v>
      </c>
      <c r="E31" s="7" t="n">
        <v>0.61</v>
      </c>
      <c r="F31" s="7" t="n">
        <v>0.43</v>
      </c>
      <c r="G31" s="7" t="n">
        <v>0.87</v>
      </c>
      <c r="H31" s="8" t="n">
        <v>0.3</v>
      </c>
      <c r="I31" s="7">
        <f>IF(OR(C31="",D31=""),"",C31*5+D31)</f>
        <v/>
      </c>
    </row>
    <row r="32" ht="30" customHeight="1">
      <c r="B32" s="6" t="inlineStr">
        <is>
          <t>DeepSeek: DeepSeek V4 Pro 0813</t>
        </is>
      </c>
      <c r="C32" s="6" t="inlineStr">
        <is>
          <t>deepseek/deepseek-v4-pro-0813</t>
        </is>
      </c>
      <c r="D32" s="7" t="n">
        <v>0.96</v>
      </c>
      <c r="E32" s="7" t="n">
        <v>2.88</v>
      </c>
      <c r="F32" s="7" t="n">
        <v>1.32</v>
      </c>
      <c r="G32" s="7" t="n">
        <v>3.96</v>
      </c>
      <c r="H32" s="8" t="n">
        <v>0.27</v>
      </c>
      <c r="I32" s="7">
        <f>IF(OR(C32="",D32=""),"",C32*5+D32)</f>
        <v/>
      </c>
    </row>
    <row r="33"/>
    <row r="34"/>
    <row r="35" ht="36" customHeight="1">
      <c r="B35" s="5" t="inlineStr">
        <is>
          <t>Free model</t>
        </is>
      </c>
      <c r="C35" s="5" t="inlineStr">
        <is>
          <t>Access</t>
        </is>
      </c>
      <c r="D35" s="5" t="inlineStr">
        <is>
          <t>Deployment note</t>
        </is>
      </c>
      <c r="E35" s="5" t="inlineStr">
        <is>
          <t>Data boundary</t>
        </is>
      </c>
    </row>
    <row r="36" ht="30" customHeight="1">
      <c r="B36" s="6" t="inlineStr">
        <is>
          <t>inclusionAI: Ling 3.0 Flash Fin</t>
        </is>
      </c>
      <c r="C36" s="6" t="inlineStr">
        <is>
          <t>FREE</t>
        </is>
      </c>
      <c r="D36" s="6" t="inlineStr">
        <is>
          <t>Use exact FREE catalog entry; some names also have paid routes</t>
        </is>
      </c>
      <c r="E36" s="6" t="inlineStr">
        <is>
          <t>Sanitized/public/non-critical only</t>
        </is>
      </c>
    </row>
    <row r="37" ht="30" customHeight="1">
      <c r="B37" s="6" t="inlineStr">
        <is>
          <t>inclusionAI: Ling 3.0 Flash Sante (free)</t>
        </is>
      </c>
      <c r="C37" s="6" t="inlineStr">
        <is>
          <t>FREE</t>
        </is>
      </c>
      <c r="D37" s="6" t="inlineStr">
        <is>
          <t>Use exact FREE catalog entry; some names also have paid routes</t>
        </is>
      </c>
      <c r="E37" s="6" t="inlineStr">
        <is>
          <t>Sanitized/public/non-critical only</t>
        </is>
      </c>
    </row>
    <row r="38" ht="30" customHeight="1">
      <c r="B38" s="6" t="inlineStr">
        <is>
          <t>Meituan: LongCat 2.0</t>
        </is>
      </c>
      <c r="C38" s="6" t="inlineStr">
        <is>
          <t>FREE</t>
        </is>
      </c>
      <c r="D38" s="6" t="inlineStr">
        <is>
          <t>Use exact FREE catalog entry; some names also have paid routes</t>
        </is>
      </c>
      <c r="E38" s="6" t="inlineStr">
        <is>
          <t>Sanitized/public/non-critical only</t>
        </is>
      </c>
    </row>
    <row r="39" ht="30" customHeight="1">
      <c r="B39" s="6" t="inlineStr">
        <is>
          <t>Poolside: Laguna S 2.1</t>
        </is>
      </c>
      <c r="C39" s="6" t="inlineStr">
        <is>
          <t>FREE</t>
        </is>
      </c>
      <c r="D39" s="6" t="inlineStr">
        <is>
          <t>Use exact FREE catalog entry; some names also have paid routes</t>
        </is>
      </c>
      <c r="E39" s="6" t="inlineStr">
        <is>
          <t>Sanitized/public/non-critical only</t>
        </is>
      </c>
    </row>
    <row r="40" ht="30" customHeight="1">
      <c r="B40" s="6" t="inlineStr">
        <is>
          <t>Poolside: Laguna XS 2.1</t>
        </is>
      </c>
      <c r="C40" s="6" t="inlineStr">
        <is>
          <t>FREE</t>
        </is>
      </c>
      <c r="D40" s="6" t="inlineStr">
        <is>
          <t>Use exact FREE catalog entry; some names also have paid routes</t>
        </is>
      </c>
      <c r="E40" s="6" t="inlineStr">
        <is>
          <t>Sanitized/public/non-critical only</t>
        </is>
      </c>
    </row>
    <row r="41" ht="30" customHeight="1">
      <c r="B41" s="6" t="inlineStr">
        <is>
          <t>StepFun: Step 3.7 Flash</t>
        </is>
      </c>
      <c r="C41" s="6" t="inlineStr">
        <is>
          <t>FREE</t>
        </is>
      </c>
      <c r="D41" s="6" t="inlineStr">
        <is>
          <t>Use exact FREE catalog entry; some names also have paid routes</t>
        </is>
      </c>
      <c r="E41" s="6" t="inlineStr">
        <is>
          <t>Sanitized/public/non-critical only</t>
        </is>
      </c>
    </row>
    <row r="42" ht="30" customHeight="1">
      <c r="B42" s="6" t="inlineStr">
        <is>
          <t>Upstage: Solar Pro 4</t>
        </is>
      </c>
      <c r="C42" s="6" t="inlineStr">
        <is>
          <t>FREE</t>
        </is>
      </c>
      <c r="D42" s="6" t="inlineStr">
        <is>
          <t>Use exact FREE catalog entry; some names also have paid routes</t>
        </is>
      </c>
      <c r="E42" s="6" t="inlineStr">
        <is>
          <t>Sanitized/public/non-critical only</t>
        </is>
      </c>
    </row>
    <row r="43"/>
    <row r="44"/>
    <row r="45" ht="36" customHeight="1">
      <c r="B45" s="5" t="inlineStr">
        <is>
          <t>Rank shown</t>
        </is>
      </c>
      <c r="C45" s="5" t="inlineStr">
        <is>
          <t>Model</t>
        </is>
      </c>
      <c r="D45" s="5" t="inlineStr">
        <is>
          <t>Type</t>
        </is>
      </c>
      <c r="E45" s="5" t="inlineStr">
        <is>
          <t>Access</t>
        </is>
      </c>
      <c r="F45" s="5" t="inlineStr">
        <is>
          <t>Input $/1M</t>
        </is>
      </c>
      <c r="G45" s="5" t="inlineStr">
        <is>
          <t>Output $/1M</t>
        </is>
      </c>
      <c r="H45" s="5" t="inlineStr">
        <is>
          <t>Discount</t>
        </is>
      </c>
    </row>
    <row r="46" ht="26" customHeight="1">
      <c r="B46" s="6" t="inlineStr">
        <is>
          <t>1</t>
        </is>
      </c>
      <c r="C46" s="6" t="inlineStr">
        <is>
          <t>Meituan: LongCat 2.0</t>
        </is>
      </c>
      <c r="D46" s="6" t="inlineStr">
        <is>
          <t>Text</t>
        </is>
      </c>
      <c r="E46" s="6" t="inlineStr">
        <is>
          <t>FREE</t>
        </is>
      </c>
      <c r="F46" s="7" t="n"/>
      <c r="G46" s="7" t="n"/>
      <c r="H46" s="8" t="n"/>
    </row>
    <row r="47" ht="26" customHeight="1">
      <c r="B47" s="6" t="inlineStr">
        <is>
          <t>2</t>
        </is>
      </c>
      <c r="C47" s="6" t="inlineStr">
        <is>
          <t>Upstage: Solar Pro 4</t>
        </is>
      </c>
      <c r="D47" s="6" t="inlineStr">
        <is>
          <t>Text</t>
        </is>
      </c>
      <c r="E47" s="6" t="inlineStr">
        <is>
          <t>FREE</t>
        </is>
      </c>
      <c r="F47" s="7" t="n"/>
      <c r="G47" s="7" t="n"/>
      <c r="H47" s="8" t="n"/>
    </row>
    <row r="48" ht="26" customHeight="1">
      <c r="B48" s="6" t="inlineStr">
        <is>
          <t>3</t>
        </is>
      </c>
      <c r="C48" s="6" t="inlineStr">
        <is>
          <t>DeepSeek: DeepSeek V4 Flash 0731</t>
        </is>
      </c>
      <c r="D48" s="6" t="inlineStr">
        <is>
          <t>Text</t>
        </is>
      </c>
      <c r="E48" s="6" t="inlineStr">
        <is>
          <t>PAID</t>
        </is>
      </c>
      <c r="F48" s="7" t="n">
        <v>0.04</v>
      </c>
      <c r="G48" s="7" t="n">
        <v>0.1</v>
      </c>
      <c r="H48" s="8" t="n"/>
    </row>
    <row r="49" ht="26" customHeight="1">
      <c r="B49" s="6" t="inlineStr">
        <is>
          <t>4</t>
        </is>
      </c>
      <c r="C49" s="6" t="inlineStr">
        <is>
          <t>DeepSeek: DeepSeek V4.1 Flash</t>
        </is>
      </c>
      <c r="D49" s="6" t="inlineStr">
        <is>
          <t>Text</t>
        </is>
      </c>
      <c r="E49" s="6" t="inlineStr">
        <is>
          <t>PROMO</t>
        </is>
      </c>
      <c r="F49" s="7" t="n">
        <v>0.15</v>
      </c>
      <c r="G49" s="7" t="n">
        <v>0.6</v>
      </c>
      <c r="H49" s="8" t="n">
        <v>0.5</v>
      </c>
    </row>
    <row r="50" ht="26" customHeight="1">
      <c r="B50" s="6" t="inlineStr">
        <is>
          <t>5</t>
        </is>
      </c>
      <c r="C50" s="6" t="inlineStr">
        <is>
          <t>Poolside: Laguna S 2.1</t>
        </is>
      </c>
      <c r="D50" s="6" t="inlineStr">
        <is>
          <t>Text</t>
        </is>
      </c>
      <c r="E50" s="6" t="inlineStr">
        <is>
          <t>FREE</t>
        </is>
      </c>
      <c r="F50" s="7" t="n"/>
      <c r="G50" s="7" t="n"/>
      <c r="H50" s="8" t="n"/>
    </row>
    <row r="51" ht="26" customHeight="1">
      <c r="B51" s="6" t="inlineStr">
        <is>
          <t>6</t>
        </is>
      </c>
      <c r="C51" s="6" t="inlineStr">
        <is>
          <t>Z.ai: GLM 5.3 Flash</t>
        </is>
      </c>
      <c r="D51" s="6" t="inlineStr">
        <is>
          <t>Text</t>
        </is>
      </c>
      <c r="E51" s="6" t="inlineStr">
        <is>
          <t>PROMO</t>
        </is>
      </c>
      <c r="F51" s="7" t="n">
        <v>0.07000000000000001</v>
      </c>
      <c r="G51" s="7" t="n">
        <v>0.25</v>
      </c>
      <c r="H51" s="8" t="n">
        <v>0.5</v>
      </c>
    </row>
    <row r="52" ht="26" customHeight="1">
      <c r="B52" s="6" t="inlineStr">
        <is>
          <t>7</t>
        </is>
      </c>
      <c r="C52" s="6" t="inlineStr">
        <is>
          <t>DeepSeek: DeepSeek V4 Flash 0423</t>
        </is>
      </c>
      <c r="D52" s="6" t="inlineStr">
        <is>
          <t>Text</t>
        </is>
      </c>
      <c r="E52" s="6" t="inlineStr">
        <is>
          <t>PAID</t>
        </is>
      </c>
      <c r="F52" s="7" t="n">
        <v>0.05</v>
      </c>
      <c r="G52" s="7" t="n">
        <v>0.14</v>
      </c>
      <c r="H52" s="8" t="n"/>
    </row>
    <row r="53" ht="26" customHeight="1">
      <c r="B53" s="6" t="inlineStr">
        <is>
          <t>8</t>
        </is>
      </c>
      <c r="C53" s="6" t="inlineStr">
        <is>
          <t>inclusionAI: Ling 3.0 Flash Fin</t>
        </is>
      </c>
      <c r="D53" s="6" t="inlineStr">
        <is>
          <t>Text</t>
        </is>
      </c>
      <c r="E53" s="6" t="inlineStr">
        <is>
          <t>FREE</t>
        </is>
      </c>
      <c r="F53" s="7" t="n"/>
      <c r="G53" s="7" t="n"/>
      <c r="H53" s="8" t="n"/>
    </row>
    <row r="54" ht="26" customHeight="1">
      <c r="B54" s="6" t="inlineStr">
        <is>
          <t>9</t>
        </is>
      </c>
      <c r="C54" s="6" t="inlineStr">
        <is>
          <t>inclusionAI: Ling 3.0 Flash Sante (free)</t>
        </is>
      </c>
      <c r="D54" s="6" t="inlineStr">
        <is>
          <t>Text</t>
        </is>
      </c>
      <c r="E54" s="6" t="inlineStr">
        <is>
          <t>FREE</t>
        </is>
      </c>
      <c r="F54" s="7" t="n"/>
      <c r="G54" s="7" t="n"/>
      <c r="H54" s="8" t="n"/>
    </row>
    <row r="55" ht="26" customHeight="1">
      <c r="B55" s="6" t="inlineStr">
        <is>
          <t>10</t>
        </is>
      </c>
      <c r="C55" s="6" t="inlineStr">
        <is>
          <t>DeepSeek: DeepSeek V4 Pro 0423</t>
        </is>
      </c>
      <c r="D55" s="6" t="inlineStr">
        <is>
          <t>Text</t>
        </is>
      </c>
      <c r="E55" s="6" t="inlineStr">
        <is>
          <t>PAID</t>
        </is>
      </c>
      <c r="F55" s="7" t="n">
        <v>0.96</v>
      </c>
      <c r="G55" s="7" t="n">
        <v>1.91</v>
      </c>
      <c r="H55" s="8" t="n"/>
    </row>
    <row r="56" ht="26" customHeight="1">
      <c r="B56" s="6" t="inlineStr"/>
      <c r="C56" s="6" t="inlineStr">
        <is>
          <t>Z.ai: GLM 5.2</t>
        </is>
      </c>
      <c r="D56" s="6" t="inlineStr">
        <is>
          <t>Text</t>
        </is>
      </c>
      <c r="E56" s="6" t="inlineStr">
        <is>
          <t>PAID</t>
        </is>
      </c>
      <c r="F56" s="7" t="n">
        <v>0.9</v>
      </c>
      <c r="G56" s="7" t="n">
        <v>2.83</v>
      </c>
      <c r="H56" s="8" t="n"/>
    </row>
    <row r="57" ht="26" customHeight="1">
      <c r="B57" s="6" t="inlineStr"/>
      <c r="C57" s="6" t="inlineStr">
        <is>
          <t>Claude Sonnet 5</t>
        </is>
      </c>
      <c r="D57" s="6" t="inlineStr">
        <is>
          <t>Other</t>
        </is>
      </c>
      <c r="E57" s="6" t="inlineStr">
        <is>
          <t>PAID</t>
        </is>
      </c>
      <c r="F57" s="7" t="n">
        <v>2</v>
      </c>
      <c r="G57" s="7" t="n">
        <v>10</v>
      </c>
      <c r="H57" s="8" t="n"/>
    </row>
    <row r="58" ht="26" customHeight="1">
      <c r="B58" s="6" t="inlineStr"/>
      <c r="C58" s="6" t="inlineStr">
        <is>
          <t>OpenAI: GPT-5.6 Luna</t>
        </is>
      </c>
      <c r="D58" s="6" t="inlineStr">
        <is>
          <t>Text</t>
        </is>
      </c>
      <c r="E58" s="6" t="inlineStr">
        <is>
          <t>PAID</t>
        </is>
      </c>
      <c r="F58" s="7" t="n">
        <v>0.2</v>
      </c>
      <c r="G58" s="7" t="n">
        <v>1.2</v>
      </c>
      <c r="H58" s="8" t="n"/>
    </row>
    <row r="59" ht="26" customHeight="1">
      <c r="B59" s="6" t="inlineStr"/>
      <c r="C59" s="6" t="inlineStr">
        <is>
          <t>Anthropic: Claude Fable 5.1</t>
        </is>
      </c>
      <c r="D59" s="6" t="inlineStr">
        <is>
          <t>Text</t>
        </is>
      </c>
      <c r="E59" s="6" t="inlineStr">
        <is>
          <t>PAID</t>
        </is>
      </c>
      <c r="F59" s="7" t="n">
        <v>10</v>
      </c>
      <c r="G59" s="7" t="n">
        <v>50</v>
      </c>
      <c r="H59" s="8" t="n"/>
    </row>
    <row r="60" ht="26" customHeight="1">
      <c r="B60" s="6" t="inlineStr"/>
      <c r="C60" s="6" t="inlineStr">
        <is>
          <t>DeepSeek: DeepSeek V4 Pro 0813</t>
        </is>
      </c>
      <c r="D60" s="6" t="inlineStr">
        <is>
          <t>Text</t>
        </is>
      </c>
      <c r="E60" s="6" t="inlineStr">
        <is>
          <t>PROMO</t>
        </is>
      </c>
      <c r="F60" s="7" t="n">
        <v>0.96</v>
      </c>
      <c r="G60" s="7" t="n">
        <v>2.88</v>
      </c>
      <c r="H60" s="8" t="n">
        <v>0.27</v>
      </c>
    </row>
    <row r="61" ht="26" customHeight="1">
      <c r="B61" s="6" t="inlineStr"/>
      <c r="C61" s="6" t="inlineStr">
        <is>
          <t>OpenAI: GPT-5.6 Luna Pro</t>
        </is>
      </c>
      <c r="D61" s="6" t="inlineStr">
        <is>
          <t>Text</t>
        </is>
      </c>
      <c r="E61" s="6" t="inlineStr">
        <is>
          <t>PAID</t>
        </is>
      </c>
      <c r="F61" s="7" t="n">
        <v>0.2</v>
      </c>
      <c r="G61" s="7" t="n">
        <v>1.2</v>
      </c>
      <c r="H61" s="8" t="n"/>
    </row>
    <row r="62" ht="26" customHeight="1">
      <c r="B62" s="6" t="inlineStr"/>
      <c r="C62" s="6" t="inlineStr">
        <is>
          <t>Poolside: Laguna XS 2.1</t>
        </is>
      </c>
      <c r="D62" s="6" t="inlineStr">
        <is>
          <t>Text</t>
        </is>
      </c>
      <c r="E62" s="6" t="inlineStr">
        <is>
          <t>FREE</t>
        </is>
      </c>
      <c r="F62" s="7" t="n"/>
      <c r="G62" s="7" t="n"/>
      <c r="H62" s="8" t="n"/>
    </row>
    <row r="63" ht="26" customHeight="1">
      <c r="B63" s="6" t="inlineStr"/>
      <c r="C63" s="6" t="inlineStr">
        <is>
          <t>Z.ai: GLM 5.3</t>
        </is>
      </c>
      <c r="D63" s="6" t="inlineStr">
        <is>
          <t>Text</t>
        </is>
      </c>
      <c r="E63" s="6" t="inlineStr">
        <is>
          <t>PROMO</t>
        </is>
      </c>
      <c r="F63" s="7" t="n">
        <v>0.88</v>
      </c>
      <c r="G63" s="7" t="n">
        <v>2.97</v>
      </c>
      <c r="H63" s="8" t="n">
        <v>0.37</v>
      </c>
    </row>
    <row r="64" ht="26" customHeight="1">
      <c r="B64" s="6" t="inlineStr"/>
      <c r="C64" s="6" t="inlineStr">
        <is>
          <t>Google: Gemini 3.8 Flash</t>
        </is>
      </c>
      <c r="D64" s="6" t="inlineStr">
        <is>
          <t>Text</t>
        </is>
      </c>
      <c r="E64" s="6" t="inlineStr">
        <is>
          <t>PROMO</t>
        </is>
      </c>
      <c r="F64" s="7" t="n">
        <v>0.75</v>
      </c>
      <c r="G64" s="7" t="n">
        <v>3.75</v>
      </c>
      <c r="H64" s="8" t="n">
        <v>0.5</v>
      </c>
    </row>
    <row r="65" ht="26" customHeight="1">
      <c r="B65" s="6" t="inlineStr"/>
      <c r="C65" s="6" t="inlineStr">
        <is>
          <t>Qwen: Qwen3.8 Flash</t>
        </is>
      </c>
      <c r="D65" s="6" t="inlineStr">
        <is>
          <t>Text</t>
        </is>
      </c>
      <c r="E65" s="6" t="inlineStr">
        <is>
          <t>PAID</t>
        </is>
      </c>
      <c r="F65" s="7" t="n">
        <v>0.15</v>
      </c>
      <c r="G65" s="7" t="n">
        <v>0.47</v>
      </c>
      <c r="H65" s="8" t="n"/>
    </row>
    <row r="66" ht="26" customHeight="1">
      <c r="B66" s="6" t="inlineStr"/>
      <c r="C66" s="6" t="inlineStr">
        <is>
          <t>Claude Opus 5</t>
        </is>
      </c>
      <c r="D66" s="6" t="inlineStr">
        <is>
          <t>Other</t>
        </is>
      </c>
      <c r="E66" s="6" t="inlineStr">
        <is>
          <t>PAID</t>
        </is>
      </c>
      <c r="F66" s="7" t="n">
        <v>5</v>
      </c>
      <c r="G66" s="7" t="n">
        <v>25</v>
      </c>
      <c r="H66" s="8" t="n"/>
    </row>
    <row r="67" ht="26" customHeight="1">
      <c r="B67" s="6" t="inlineStr"/>
      <c r="C67" s="6" t="inlineStr">
        <is>
          <t>DeepSeek: DeepSeek V4 Flash Latest</t>
        </is>
      </c>
      <c r="D67" s="6" t="inlineStr">
        <is>
          <t>Text</t>
        </is>
      </c>
      <c r="E67" s="6" t="inlineStr">
        <is>
          <t>PAID</t>
        </is>
      </c>
      <c r="F67" s="7" t="n">
        <v>0.04</v>
      </c>
      <c r="G67" s="7" t="n">
        <v>0.1</v>
      </c>
      <c r="H67" s="8" t="n"/>
    </row>
    <row r="68" ht="26" customHeight="1">
      <c r="B68" s="6" t="inlineStr"/>
      <c r="C68" s="6" t="inlineStr">
        <is>
          <t>OpenAI: GPT-5.6 Sol</t>
        </is>
      </c>
      <c r="D68" s="6" t="inlineStr">
        <is>
          <t>Text</t>
        </is>
      </c>
      <c r="E68" s="6" t="inlineStr">
        <is>
          <t>PROMO</t>
        </is>
      </c>
      <c r="F68" s="7" t="n">
        <v>2</v>
      </c>
      <c r="G68" s="7" t="n">
        <v>10</v>
      </c>
      <c r="H68" s="8" t="n">
        <v>0.5</v>
      </c>
    </row>
    <row r="69" ht="26" customHeight="1">
      <c r="B69" s="6" t="inlineStr"/>
      <c r="C69" s="6" t="inlineStr">
        <is>
          <t>MoonshotAI: Kimi K3</t>
        </is>
      </c>
      <c r="D69" s="6" t="inlineStr">
        <is>
          <t>Text</t>
        </is>
      </c>
      <c r="E69" s="6" t="inlineStr">
        <is>
          <t>PROMO</t>
        </is>
      </c>
      <c r="F69" s="7" t="n">
        <v>2</v>
      </c>
      <c r="G69" s="7" t="n">
        <v>11.2</v>
      </c>
      <c r="H69" s="8" t="n">
        <v>0.33</v>
      </c>
    </row>
    <row r="70" ht="26" customHeight="1">
      <c r="B70" s="6" t="inlineStr"/>
      <c r="C70" s="6" t="inlineStr">
        <is>
          <t>OpenAI: GPT-6 Astra</t>
        </is>
      </c>
      <c r="D70" s="6" t="inlineStr">
        <is>
          <t>Text</t>
        </is>
      </c>
      <c r="E70" s="6" t="inlineStr">
        <is>
          <t>PAID</t>
        </is>
      </c>
      <c r="F70" s="7" t="n">
        <v>10</v>
      </c>
      <c r="G70" s="7" t="n">
        <v>50</v>
      </c>
      <c r="H70" s="8" t="n"/>
    </row>
    <row r="71" ht="26" customHeight="1">
      <c r="B71" s="6" t="inlineStr"/>
      <c r="C71" s="6" t="inlineStr">
        <is>
          <t>Claude Opus 4.8</t>
        </is>
      </c>
      <c r="D71" s="6" t="inlineStr">
        <is>
          <t>Other</t>
        </is>
      </c>
      <c r="E71" s="6" t="inlineStr">
        <is>
          <t>PAID</t>
        </is>
      </c>
      <c r="F71" s="7" t="n">
        <v>5</v>
      </c>
      <c r="G71" s="7" t="n">
        <v>25</v>
      </c>
      <c r="H71" s="8" t="n"/>
    </row>
    <row r="72" ht="26" customHeight="1">
      <c r="B72" s="6" t="inlineStr"/>
      <c r="C72" s="6" t="inlineStr">
        <is>
          <t>MiniMax: MiniMax M3</t>
        </is>
      </c>
      <c r="D72" s="6" t="inlineStr">
        <is>
          <t>Text</t>
        </is>
      </c>
      <c r="E72" s="6" t="inlineStr">
        <is>
          <t>PROMO</t>
        </is>
      </c>
      <c r="F72" s="7" t="n">
        <v>0.23</v>
      </c>
      <c r="G72" s="7" t="n">
        <v>0.96</v>
      </c>
      <c r="H72" s="8" t="n">
        <v>0.23</v>
      </c>
    </row>
    <row r="73" ht="26" customHeight="1">
      <c r="B73" s="6" t="inlineStr"/>
      <c r="C73" s="6" t="inlineStr">
        <is>
          <t>Tencent: Hy3</t>
        </is>
      </c>
      <c r="D73" s="6" t="inlineStr">
        <is>
          <t>Text</t>
        </is>
      </c>
      <c r="E73" s="6" t="inlineStr">
        <is>
          <t>PROMO</t>
        </is>
      </c>
      <c r="F73" s="7" t="n">
        <v>0.1</v>
      </c>
      <c r="G73" s="7" t="n">
        <v>0.43</v>
      </c>
      <c r="H73" s="8" t="n">
        <v>0.2</v>
      </c>
    </row>
    <row r="74" ht="26" customHeight="1">
      <c r="B74" s="6" t="inlineStr"/>
      <c r="C74" s="6" t="inlineStr">
        <is>
          <t>xAI: Grok 4.6</t>
        </is>
      </c>
      <c r="D74" s="6" t="inlineStr">
        <is>
          <t>Text</t>
        </is>
      </c>
      <c r="E74" s="6" t="inlineStr">
        <is>
          <t>PAID</t>
        </is>
      </c>
      <c r="F74" s="7" t="n">
        <v>2</v>
      </c>
      <c r="G74" s="7" t="n">
        <v>6</v>
      </c>
      <c r="H74" s="8" t="n"/>
    </row>
    <row r="75" ht="26" customHeight="1">
      <c r="B75" s="6" t="inlineStr"/>
      <c r="C75" s="6" t="inlineStr">
        <is>
          <t>Google: Gemini 3.7 Flash</t>
        </is>
      </c>
      <c r="D75" s="6" t="inlineStr">
        <is>
          <t>Text</t>
        </is>
      </c>
      <c r="E75" s="6" t="inlineStr">
        <is>
          <t>PROMO</t>
        </is>
      </c>
      <c r="F75" s="7" t="n">
        <v>0.75</v>
      </c>
      <c r="G75" s="7" t="n">
        <v>3.75</v>
      </c>
      <c r="H75" s="8" t="n">
        <v>0.5</v>
      </c>
    </row>
    <row r="76" ht="26" customHeight="1">
      <c r="B76" s="6" t="inlineStr"/>
      <c r="C76" s="6" t="inlineStr">
        <is>
          <t>Z.ai: GLM 5.3 Flash</t>
        </is>
      </c>
      <c r="D76" s="6" t="inlineStr">
        <is>
          <t>Text</t>
        </is>
      </c>
      <c r="E76" s="6" t="inlineStr">
        <is>
          <t>PAID</t>
        </is>
      </c>
      <c r="F76" s="7" t="n">
        <v>0.25</v>
      </c>
      <c r="G76" s="7" t="n">
        <v>0.83</v>
      </c>
      <c r="H76" s="8" t="n"/>
    </row>
    <row r="77" ht="26" customHeight="1">
      <c r="B77" s="6" t="inlineStr"/>
      <c r="C77" s="6" t="inlineStr">
        <is>
          <t>Tencent: Hy4 preview</t>
        </is>
      </c>
      <c r="D77" s="6" t="inlineStr">
        <is>
          <t>Text</t>
        </is>
      </c>
      <c r="E77" s="6" t="inlineStr">
        <is>
          <t>PAID</t>
        </is>
      </c>
      <c r="F77" s="7" t="n">
        <v>0.83</v>
      </c>
      <c r="G77" s="7" t="n">
        <v>2.5</v>
      </c>
      <c r="H77" s="8" t="n"/>
    </row>
    <row r="78" ht="26" customHeight="1">
      <c r="B78" s="6" t="inlineStr"/>
      <c r="C78" s="6" t="inlineStr">
        <is>
          <t>OpenAI: GPT-6 Astra Flex</t>
        </is>
      </c>
      <c r="D78" s="6" t="inlineStr">
        <is>
          <t>Text</t>
        </is>
      </c>
      <c r="E78" s="6" t="inlineStr">
        <is>
          <t>PAID</t>
        </is>
      </c>
      <c r="F78" s="7" t="n">
        <v>5</v>
      </c>
      <c r="G78" s="7" t="n">
        <v>25</v>
      </c>
      <c r="H78" s="8" t="n"/>
    </row>
    <row r="79" ht="26" customHeight="1">
      <c r="B79" s="6" t="inlineStr"/>
      <c r="C79" s="6" t="inlineStr">
        <is>
          <t>Xiaomi: MiMo-V2.5-Pro</t>
        </is>
      </c>
      <c r="D79" s="6" t="inlineStr">
        <is>
          <t>Text</t>
        </is>
      </c>
      <c r="E79" s="6" t="inlineStr">
        <is>
          <t>PROMO</t>
        </is>
      </c>
      <c r="F79" s="7" t="n">
        <v>0.3</v>
      </c>
      <c r="G79" s="7" t="n">
        <v>0.61</v>
      </c>
      <c r="H79" s="8" t="n">
        <v>0.3</v>
      </c>
    </row>
    <row r="80" ht="26" customHeight="1">
      <c r="B80" s="6" t="inlineStr"/>
      <c r="C80" s="6" t="inlineStr">
        <is>
          <t>OpenAI: GPT-5.6 Terra</t>
        </is>
      </c>
      <c r="D80" s="6" t="inlineStr">
        <is>
          <t>Text</t>
        </is>
      </c>
      <c r="E80" s="6" t="inlineStr">
        <is>
          <t>PAID</t>
        </is>
      </c>
      <c r="F80" s="7" t="n">
        <v>2</v>
      </c>
      <c r="G80" s="7" t="n">
        <v>12</v>
      </c>
      <c r="H80" s="8" t="n"/>
    </row>
    <row r="81" ht="26" customHeight="1">
      <c r="B81" s="6" t="inlineStr"/>
      <c r="C81" s="6" t="inlineStr">
        <is>
          <t>Qwen: Qwen3.8 Max (0902)</t>
        </is>
      </c>
      <c r="D81" s="6" t="inlineStr">
        <is>
          <t>Text</t>
        </is>
      </c>
      <c r="E81" s="6" t="inlineStr">
        <is>
          <t>PAID</t>
        </is>
      </c>
      <c r="F81" s="7" t="n">
        <v>2</v>
      </c>
      <c r="G81" s="7" t="n">
        <v>6</v>
      </c>
      <c r="H81" s="8" t="n"/>
    </row>
    <row r="82" ht="26" customHeight="1">
      <c r="B82" s="6" t="inlineStr"/>
      <c r="C82" s="6" t="inlineStr">
        <is>
          <t>OpenAI: GPT-5.6 Sol Pro</t>
        </is>
      </c>
      <c r="D82" s="6" t="inlineStr">
        <is>
          <t>Text</t>
        </is>
      </c>
      <c r="E82" s="6" t="inlineStr">
        <is>
          <t>PROMO</t>
        </is>
      </c>
      <c r="F82" s="7" t="n">
        <v>2</v>
      </c>
      <c r="G82" s="7" t="n">
        <v>10</v>
      </c>
      <c r="H82" s="8" t="n">
        <v>0.5</v>
      </c>
    </row>
    <row r="83" ht="26" customHeight="1">
      <c r="B83" s="6" t="inlineStr"/>
      <c r="C83" s="6" t="inlineStr">
        <is>
          <t>Claude Fable 5</t>
        </is>
      </c>
      <c r="D83" s="6" t="inlineStr">
        <is>
          <t>Other</t>
        </is>
      </c>
      <c r="E83" s="6" t="inlineStr">
        <is>
          <t>PAID</t>
        </is>
      </c>
      <c r="F83" s="7" t="n">
        <v>10</v>
      </c>
      <c r="G83" s="7" t="n">
        <v>50</v>
      </c>
      <c r="H83" s="8" t="n"/>
    </row>
    <row r="84" ht="26" customHeight="1">
      <c r="B84" s="6" t="inlineStr"/>
      <c r="C84" s="6" t="inlineStr">
        <is>
          <t>OpenAI: GPT-5.4 Mini</t>
        </is>
      </c>
      <c r="D84" s="6" t="inlineStr">
        <is>
          <t>Text</t>
        </is>
      </c>
      <c r="E84" s="6" t="inlineStr">
        <is>
          <t>PAID</t>
        </is>
      </c>
      <c r="F84" s="7" t="n">
        <v>0.75</v>
      </c>
      <c r="G84" s="7" t="n">
        <v>4.5</v>
      </c>
      <c r="H84" s="8" t="n"/>
    </row>
    <row r="85" ht="26" customHeight="1">
      <c r="B85" s="6" t="inlineStr"/>
      <c r="C85" s="6" t="inlineStr">
        <is>
          <t>OpenAI: GPT-6 Astra Pro</t>
        </is>
      </c>
      <c r="D85" s="6" t="inlineStr">
        <is>
          <t>Text</t>
        </is>
      </c>
      <c r="E85" s="6" t="inlineStr">
        <is>
          <t>PAID</t>
        </is>
      </c>
      <c r="F85" s="7" t="n">
        <v>10</v>
      </c>
      <c r="G85" s="7" t="n">
        <v>50</v>
      </c>
      <c r="H85" s="8" t="n"/>
    </row>
    <row r="86" ht="26" customHeight="1">
      <c r="B86" s="6" t="inlineStr"/>
      <c r="C86" s="6" t="inlineStr">
        <is>
          <t>Z.ai: GLM 5.3</t>
        </is>
      </c>
      <c r="D86" s="6" t="inlineStr">
        <is>
          <t>Text</t>
        </is>
      </c>
      <c r="E86" s="6" t="inlineStr">
        <is>
          <t>PAID</t>
        </is>
      </c>
      <c r="F86" s="7" t="n">
        <v>2.31</v>
      </c>
      <c r="G86" s="7" t="n">
        <v>7.26</v>
      </c>
      <c r="H86" s="8" t="n"/>
    </row>
    <row r="87" ht="26" customHeight="1">
      <c r="B87" s="6" t="inlineStr"/>
      <c r="C87" s="6" t="inlineStr">
        <is>
          <t>StepFun: Step 3.7 Flash</t>
        </is>
      </c>
      <c r="D87" s="6" t="inlineStr">
        <is>
          <t>Text</t>
        </is>
      </c>
      <c r="E87" s="6" t="inlineStr">
        <is>
          <t>PROMO</t>
        </is>
      </c>
      <c r="F87" s="7" t="n">
        <v>0.16</v>
      </c>
      <c r="G87" s="7" t="n">
        <v>0.92</v>
      </c>
      <c r="H87" s="8" t="n">
        <v>0.2</v>
      </c>
    </row>
    <row r="88" ht="26" customHeight="1">
      <c r="B88" s="6" t="inlineStr"/>
      <c r="C88" s="6" t="inlineStr">
        <is>
          <t>Meituan: LongCat 2.0</t>
        </is>
      </c>
      <c r="D88" s="6" t="inlineStr">
        <is>
          <t>Text</t>
        </is>
      </c>
      <c r="E88" s="6" t="inlineStr">
        <is>
          <t>PAID</t>
        </is>
      </c>
      <c r="F88" s="7" t="n">
        <v>0.3</v>
      </c>
      <c r="G88" s="7" t="n">
        <v>1.2</v>
      </c>
      <c r="H88" s="8" t="n"/>
    </row>
    <row r="89" ht="26" customHeight="1">
      <c r="B89" s="6" t="inlineStr"/>
      <c r="C89" s="6" t="inlineStr">
        <is>
          <t>DeepSeek: DeepSeek V4 Flash Vision Exp</t>
        </is>
      </c>
      <c r="D89" s="6" t="inlineStr">
        <is>
          <t>Text</t>
        </is>
      </c>
      <c r="E89" s="6" t="inlineStr">
        <is>
          <t>PAID</t>
        </is>
      </c>
      <c r="F89" s="7" t="n">
        <v>0.22</v>
      </c>
      <c r="G89" s="7" t="n">
        <v>0.65</v>
      </c>
      <c r="H89" s="8" t="n"/>
    </row>
    <row r="90" ht="26" customHeight="1">
      <c r="B90" s="6" t="inlineStr"/>
      <c r="C90" s="6" t="inlineStr">
        <is>
          <t>Claude Haiku 4.5</t>
        </is>
      </c>
      <c r="D90" s="6" t="inlineStr">
        <is>
          <t>Other</t>
        </is>
      </c>
      <c r="E90" s="6" t="inlineStr">
        <is>
          <t>PAID</t>
        </is>
      </c>
      <c r="F90" s="7" t="n">
        <v>1</v>
      </c>
      <c r="G90" s="7" t="n">
        <v>5</v>
      </c>
      <c r="H90" s="8" t="n"/>
    </row>
    <row r="91" ht="26" customHeight="1">
      <c r="B91" s="6" t="inlineStr"/>
      <c r="C91" s="6" t="inlineStr">
        <is>
          <t>Claude Sonnet 4.6</t>
        </is>
      </c>
      <c r="D91" s="6" t="inlineStr">
        <is>
          <t>Other</t>
        </is>
      </c>
      <c r="E91" s="6" t="inlineStr">
        <is>
          <t>PAID</t>
        </is>
      </c>
      <c r="F91" s="7" t="n">
        <v>3</v>
      </c>
      <c r="G91" s="7" t="n">
        <v>15</v>
      </c>
      <c r="H91" s="8" t="n"/>
    </row>
    <row r="92" ht="26" customHeight="1">
      <c r="B92" s="6" t="inlineStr"/>
      <c r="C92" s="6" t="inlineStr">
        <is>
          <t>Qwen: Qwen3.7 Flash</t>
        </is>
      </c>
      <c r="D92" s="6" t="inlineStr">
        <is>
          <t>Text</t>
        </is>
      </c>
      <c r="E92" s="6" t="inlineStr">
        <is>
          <t>PAID</t>
        </is>
      </c>
      <c r="F92" s="7" t="n">
        <v>0.03</v>
      </c>
      <c r="G92" s="7" t="n">
        <v>0.13</v>
      </c>
      <c r="H92" s="8" t="n"/>
    </row>
    <row r="93" ht="26" customHeight="1">
      <c r="B93" s="6" t="inlineStr"/>
      <c r="C93" s="6" t="inlineStr">
        <is>
          <t>Poolside: Laguna S 2.1</t>
        </is>
      </c>
      <c r="D93" s="6" t="inlineStr">
        <is>
          <t>Text</t>
        </is>
      </c>
      <c r="E93" s="6" t="inlineStr">
        <is>
          <t>PROMO</t>
        </is>
      </c>
      <c r="F93" s="7" t="n">
        <v>0.09</v>
      </c>
      <c r="G93" s="7" t="n">
        <v>0.18</v>
      </c>
      <c r="H93" s="8" t="n">
        <v>0.1</v>
      </c>
    </row>
    <row r="94" ht="26" customHeight="1">
      <c r="B94" s="6" t="inlineStr"/>
      <c r="C94" s="6" t="inlineStr">
        <is>
          <t>Claude Opus 4.6</t>
        </is>
      </c>
      <c r="D94" s="6" t="inlineStr">
        <is>
          <t>Other</t>
        </is>
      </c>
      <c r="E94" s="6" t="inlineStr">
        <is>
          <t>PAID</t>
        </is>
      </c>
      <c r="F94" s="7" t="n">
        <v>5</v>
      </c>
      <c r="G94" s="7" t="n">
        <v>25</v>
      </c>
      <c r="H94" s="8" t="n"/>
    </row>
    <row r="95" ht="26" customHeight="1">
      <c r="B95" s="6" t="inlineStr"/>
      <c r="C95" s="6" t="inlineStr">
        <is>
          <t>MoonshotAI: Kimi K2.7 Code</t>
        </is>
      </c>
      <c r="D95" s="6" t="inlineStr">
        <is>
          <t>Text</t>
        </is>
      </c>
      <c r="E95" s="6" t="inlineStr">
        <is>
          <t>PAID</t>
        </is>
      </c>
      <c r="F95" s="7" t="n">
        <v>0.68</v>
      </c>
      <c r="G95" s="7" t="n">
        <v>3.4</v>
      </c>
      <c r="H95" s="8" t="n"/>
    </row>
    <row r="96"/>
    <row r="97">
      <c r="B97" s="9" t="inlineStr">
        <is>
          <t>Source</t>
        </is>
      </c>
      <c r="C97" s="10" t="inlineStr">
        <is>
          <t>https://portal.nousresearch.com/models</t>
        </is>
      </c>
    </row>
  </sheetData>
  <mergeCells count="2">
    <mergeCell ref="B3:K3"/>
    <mergeCell ref="B2:K2"/>
  </mergeCells>
  <conditionalFormatting sqref="I7:I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hyperlinks>
    <hyperlink xmlns:r="http://schemas.openxmlformats.org/officeDocument/2006/relationships" ref="C97" r:id="rId1"/>
  </hyperlinks>
  <pageMargins left="0.75" right="0.75" top="1" bottom="1" header="0.5" footer="0.5"/>
  <pageSetup orientation="landscape" fitToHeight="0" fitToWidth="1"/>
  <headerFooter>
    <oddHeader/>
    <oddFooter>&amp;CGenerated 2026-09-15 | Nous prices change live; verify before deployment&amp;RPage &amp;P of &amp;N</oddFooter>
    <evenHeader/>
    <evenFooter/>
    <firstHeader/>
    <firstFooter/>
  </headerFooter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34" customWidth="1" min="3" max="3"/>
    <col width="38" customWidth="1" min="4" max="4"/>
    <col width="37" customWidth="1" min="5" max="5"/>
    <col width="28" customWidth="1" min="6" max="6"/>
    <col width="28" customWidth="1" min="7" max="7"/>
    <col width="45" customWidth="1" min="8" max="8"/>
    <col width="16" customWidth="1" min="9" max="9"/>
  </cols>
  <sheetData>
    <row r="1"/>
    <row r="2" ht="28" customHeight="1">
      <c r="B2" s="1" t="inlineStr">
        <is>
          <t>Model routing for your real tasks</t>
        </is>
      </c>
    </row>
    <row r="3" ht="34" customHeight="1">
      <c r="B3" s="2" t="inlineStr">
        <is>
          <t>Assignments prioritize zero cost, privacy boundaries, resumability and evidence. “Free first” does not mean free models touch confidential LexFlow/legal data.</t>
        </is>
      </c>
    </row>
    <row r="4"/>
    <row r="5"/>
    <row r="6" ht="36" customHeight="1">
      <c r="B6" s="5" t="inlineStr">
        <is>
          <t>Task</t>
        </is>
      </c>
      <c r="C6" s="5" t="inlineStr">
        <is>
          <t>Output</t>
        </is>
      </c>
      <c r="D6" s="5" t="inlineStr">
        <is>
          <t>Free/no-agent lane</t>
        </is>
      </c>
      <c r="E6" s="5" t="inlineStr">
        <is>
          <t>Primary promo/paid</t>
        </is>
      </c>
      <c r="F6" s="5" t="inlineStr">
        <is>
          <t>Escalation</t>
        </is>
      </c>
      <c r="G6" s="5" t="inlineStr">
        <is>
          <t>Free-lane data</t>
        </is>
      </c>
      <c r="H6" s="5" t="inlineStr">
        <is>
          <t>Non-negotiable gate</t>
        </is>
      </c>
      <c r="I6" s="5" t="inlineStr">
        <is>
          <t>Fit confidence</t>
        </is>
      </c>
    </row>
    <row r="7" ht="46" customHeight="1">
      <c r="B7" s="6" t="inlineStr">
        <is>
          <t>Feature intake/spec</t>
        </is>
      </c>
      <c r="C7" s="6" t="inlineStr">
        <is>
          <t>Acceptance criteria, non-goals, risks</t>
        </is>
      </c>
      <c r="D7" s="6" t="inlineStr">
        <is>
          <t>Solar Pro 4 FREE</t>
        </is>
      </c>
      <c r="E7" s="6" t="inlineStr">
        <is>
          <t>Qwen3 235B A22B ($0.09/$0.35)</t>
        </is>
      </c>
      <c r="F7" s="6" t="inlineStr">
        <is>
          <t>Claude Sonnet 5</t>
        </is>
      </c>
      <c r="G7" s="6" t="inlineStr">
        <is>
          <t>Public/sanitized</t>
        </is>
      </c>
      <c r="H7" s="6" t="inlineStr">
        <is>
          <t>Human approves before code</t>
        </is>
      </c>
      <c r="I7" s="6" t="inlineStr">
        <is>
          <t>High</t>
        </is>
      </c>
    </row>
    <row r="8" ht="46" customHeight="1">
      <c r="B8" s="6" t="inlineStr">
        <is>
          <t>Small Flask fix</t>
        </is>
      </c>
      <c r="C8" s="6" t="inlineStr">
        <is>
          <t>Narrow diff + unit test</t>
        </is>
      </c>
      <c r="D8" s="6" t="inlineStr">
        <is>
          <t>Laguna XS/S FREE canary</t>
        </is>
      </c>
      <c r="E8" s="6" t="inlineStr">
        <is>
          <t>Qwen3 Coder 30B ($0.07/$0.27)</t>
        </is>
      </c>
      <c r="F8" s="6" t="inlineStr">
        <is>
          <t>Sonnet 5</t>
        </is>
      </c>
      <c r="G8" s="6" t="inlineStr">
        <is>
          <t>Synthetic fixtures only</t>
        </is>
      </c>
      <c r="H8" s="6" t="inlineStr">
        <is>
          <t>No auto-merge</t>
        </is>
      </c>
      <c r="I8" s="6" t="inlineStr">
        <is>
          <t>High</t>
        </is>
      </c>
    </row>
    <row r="9" ht="46" customHeight="1">
      <c r="B9" s="6" t="inlineStr">
        <is>
          <t>Large CRM feature</t>
        </is>
      </c>
      <c r="C9" s="6" t="inlineStr">
        <is>
          <t>Service-layer code + migration + tests</t>
        </is>
      </c>
      <c r="D9" s="6" t="inlineStr">
        <is>
          <t>Free model only for task decomposition</t>
        </is>
      </c>
      <c r="E9" s="6" t="inlineStr">
        <is>
          <t>Qwen3 Coder 480B ($0.22/$1.80)</t>
        </is>
      </c>
      <c r="F9" s="6" t="inlineStr">
        <is>
          <t>Sonnet 5; Opus 5 if critical</t>
        </is>
      </c>
      <c r="G9" s="6" t="inlineStr">
        <is>
          <t>No production/client data</t>
        </is>
      </c>
      <c r="H9" s="6" t="inlineStr">
        <is>
          <t>Independent proof/review</t>
        </is>
      </c>
      <c r="I9" s="6" t="inlineStr">
        <is>
          <t>High</t>
        </is>
      </c>
    </row>
    <row r="10" ht="46" customHeight="1">
      <c r="B10" s="6" t="inlineStr">
        <is>
          <t>Elisa/a-Lexy parity</t>
        </is>
      </c>
      <c r="C10" s="6" t="inlineStr">
        <is>
          <t>UI/intake behavior parity</t>
        </is>
      </c>
      <c r="D10" s="6" t="inlineStr">
        <is>
          <t>Solar FREE inventories public pages</t>
        </is>
      </c>
      <c r="E10" s="6" t="inlineStr">
        <is>
          <t>Qwen3 Coder 480B</t>
        </is>
      </c>
      <c r="F10" s="6" t="inlineStr">
        <is>
          <t>Sonnet 5</t>
        </is>
      </c>
      <c r="G10" s="6" t="inlineStr">
        <is>
          <t>Public copy/screens only</t>
        </is>
      </c>
      <c r="H10" s="6" t="inlineStr">
        <is>
          <t>Keep two-app boundary until approved</t>
        </is>
      </c>
      <c r="I10" s="6" t="inlineStr">
        <is>
          <t>High</t>
        </is>
      </c>
    </row>
    <row r="11" ht="46" customHeight="1">
      <c r="B11" s="6" t="inlineStr">
        <is>
          <t>OAuth/auth/RLS/payments</t>
        </is>
      </c>
      <c r="C11" s="6" t="inlineStr">
        <is>
          <t>Trust-boundary implementation</t>
        </is>
      </c>
      <c r="D11" s="6" t="inlineStr">
        <is>
          <t>No anonymous free model</t>
        </is>
      </c>
      <c r="E11" s="6" t="inlineStr">
        <is>
          <t>Qwen Coder for test scaffolds</t>
        </is>
      </c>
      <c r="F11" s="6" t="inlineStr">
        <is>
          <t>Sonnet 5 build/review; Opus 5 design</t>
        </is>
      </c>
      <c r="G11" s="6" t="inlineStr">
        <is>
          <t>Approved private provider only</t>
        </is>
      </c>
      <c r="H11" s="6" t="inlineStr">
        <is>
          <t>Least privilege + human approval</t>
        </is>
      </c>
      <c r="I11" s="6" t="inlineStr">
        <is>
          <t>High</t>
        </is>
      </c>
    </row>
    <row r="12" ht="46" customHeight="1">
      <c r="B12" s="6" t="inlineStr">
        <is>
          <t>Debug logs/screenshots</t>
        </is>
      </c>
      <c r="C12" s="6" t="inlineStr">
        <is>
          <t>Root-cause, one check at a time</t>
        </is>
      </c>
      <c r="D12" s="6" t="inlineStr">
        <is>
          <t>Laguna/Solar FREE after redaction</t>
        </is>
      </c>
      <c r="E12" s="6" t="inlineStr">
        <is>
          <t>DeepSeek V4.1 Flash ($0.15/$0.60)</t>
        </is>
      </c>
      <c r="F12" s="6" t="inlineStr">
        <is>
          <t>Sonnet 5 complex incident</t>
        </is>
      </c>
      <c r="G12" s="6" t="inlineStr">
        <is>
          <t>Redacted only</t>
        </is>
      </c>
      <c r="H12" s="6" t="inlineStr">
        <is>
          <t>Backup + verify each command</t>
        </is>
      </c>
      <c r="I12" s="6" t="inlineStr">
        <is>
          <t>Medium</t>
        </is>
      </c>
    </row>
    <row r="13" ht="46" customHeight="1">
      <c r="B13" s="6" t="inlineStr">
        <is>
          <t>Railway/Netlify/Cloudflare</t>
        </is>
      </c>
      <c r="C13" s="6" t="inlineStr">
        <is>
          <t>Deploy commands, env diff, rollback</t>
        </is>
      </c>
      <c r="D13" s="6" t="inlineStr">
        <is>
          <t>No-agent smoke scripts</t>
        </is>
      </c>
      <c r="E13" s="6" t="inlineStr">
        <is>
          <t>Qwen3 Coder 30B</t>
        </is>
      </c>
      <c r="F13" s="6" t="inlineStr">
        <is>
          <t>Sonnet 5 blocked deploy</t>
        </is>
      </c>
      <c r="G13" s="6" t="inlineStr">
        <is>
          <t>Redacted config/logs</t>
        </is>
      </c>
      <c r="H13" s="6" t="inlineStr">
        <is>
          <t>Staging first; production approval</t>
        </is>
      </c>
      <c r="I13" s="6" t="inlineStr">
        <is>
          <t>High</t>
        </is>
      </c>
    </row>
    <row r="14" ht="46" customHeight="1">
      <c r="B14" s="6" t="inlineStr">
        <is>
          <t>SEO/GEO/AEO</t>
        </is>
      </c>
      <c r="C14" s="6" t="inlineStr">
        <is>
          <t>GSC/crawl delta + actions</t>
        </is>
      </c>
      <c r="D14" s="6" t="inlineStr">
        <is>
          <t>Script first; Solar/Step FREE summarize change</t>
        </is>
      </c>
      <c r="E14" s="6" t="inlineStr">
        <is>
          <t>GLM 5.3 Flash ($0.07/$0.25)</t>
        </is>
      </c>
      <c r="F14" s="6" t="inlineStr">
        <is>
          <t>Sonnet 5 weekly strategy</t>
        </is>
      </c>
      <c r="G14" s="6" t="inlineStr">
        <is>
          <t>Public/aggregate metrics</t>
        </is>
      </c>
      <c r="H14" s="6" t="inlineStr">
        <is>
          <t>No LLM on NO_CHANGE</t>
        </is>
      </c>
      <c r="I14" s="6" t="inlineStr">
        <is>
          <t>High</t>
        </is>
      </c>
    </row>
    <row r="15" ht="46" customHeight="1">
      <c r="B15" s="6" t="inlineStr">
        <is>
          <t>Competitive research</t>
        </is>
      </c>
      <c r="C15" s="6" t="inlineStr">
        <is>
          <t>Current sourced comparison</t>
        </is>
      </c>
      <c r="D15" s="6" t="inlineStr">
        <is>
          <t>Solar FREE first synthesis</t>
        </is>
      </c>
      <c r="E15" s="6" t="inlineStr">
        <is>
          <t>Qwen3 235B</t>
        </is>
      </c>
      <c r="F15" s="6" t="inlineStr">
        <is>
          <t>Sonnet 5 decision memo</t>
        </is>
      </c>
      <c r="G15" s="6" t="inlineStr">
        <is>
          <t>Public web only</t>
        </is>
      </c>
      <c r="H15" s="6" t="inlineStr">
        <is>
          <t>URL/date/source required</t>
        </is>
      </c>
      <c r="I15" s="6" t="inlineStr">
        <is>
          <t>High</t>
        </is>
      </c>
    </row>
    <row r="16" ht="46" customHeight="1">
      <c r="B16" s="6" t="inlineStr">
        <is>
          <t>Landing copy/translation</t>
        </is>
      </c>
      <c r="C16" s="6" t="inlineStr">
        <is>
          <t>Multilingual drafts and parity</t>
        </is>
      </c>
      <c r="D16" s="6" t="inlineStr">
        <is>
          <t>Solar Pro 4 FREE</t>
        </is>
      </c>
      <c r="E16" s="6" t="inlineStr">
        <is>
          <t>Qwen3 235B</t>
        </is>
      </c>
      <c r="F16" s="6" t="inlineStr">
        <is>
          <t>Sonnet 5 high-stakes wording</t>
        </is>
      </c>
      <c r="G16" s="6" t="inlineStr">
        <is>
          <t>Public/non-confidential</t>
        </is>
      </c>
      <c r="H16" s="6" t="inlineStr">
        <is>
          <t>Human publishes</t>
        </is>
      </c>
      <c r="I16" s="6" t="inlineStr">
        <is>
          <t>High</t>
        </is>
      </c>
    </row>
    <row r="17" ht="46" customHeight="1">
      <c r="B17" s="6" t="inlineStr">
        <is>
          <t>Obsidian curation</t>
        </is>
      </c>
      <c r="C17" s="6" t="inlineStr">
        <is>
          <t>Agent logs separate from personal notes</t>
        </is>
      </c>
      <c r="D17" s="6" t="inlineStr">
        <is>
          <t>No-agent link/duplicate scan</t>
        </is>
      </c>
      <c r="E17" s="6" t="inlineStr">
        <is>
          <t>Solar FREE summarizes flags</t>
        </is>
      </c>
      <c r="F17" s="6" t="inlineStr">
        <is>
          <t>Sonnet 5 taxonomy change</t>
        </is>
      </c>
      <c r="G17" s="6" t="inlineStr">
        <is>
          <t>No private vault to anonymous route</t>
        </is>
      </c>
      <c r="H17" s="6" t="inlineStr">
        <is>
          <t>Staging folder only</t>
        </is>
      </c>
      <c r="I17" s="6" t="inlineStr">
        <is>
          <t>High</t>
        </is>
      </c>
    </row>
    <row r="18" ht="46" customHeight="1">
      <c r="B18" s="6" t="inlineStr">
        <is>
          <t>Airtable milestones</t>
        </is>
      </c>
      <c r="C18" s="6" t="inlineStr">
        <is>
          <t>Approval-ready status diff</t>
        </is>
      </c>
      <c r="D18" s="6" t="inlineStr">
        <is>
          <t>No-agent read/delta</t>
        </is>
      </c>
      <c r="E18" s="6" t="inlineStr">
        <is>
          <t>GLM 5.3 Flash summary</t>
        </is>
      </c>
      <c r="F18" s="6" t="inlineStr">
        <is>
          <t>Sonnet 5 schema redesign</t>
        </is>
      </c>
      <c r="G18" s="6" t="inlineStr">
        <is>
          <t>IDs/status if approved</t>
        </is>
      </c>
      <c r="H18" s="6" t="inlineStr">
        <is>
          <t>No write without permission</t>
        </is>
      </c>
      <c r="I18" s="6" t="inlineStr">
        <is>
          <t>High</t>
        </is>
      </c>
    </row>
    <row r="19" ht="46" customHeight="1">
      <c r="B19" s="6" t="inlineStr">
        <is>
          <t>Email/calendar</t>
        </is>
      </c>
      <c r="C19" s="6" t="inlineStr">
        <is>
          <t>Read, summarize, draft, limited appointment sync</t>
        </is>
      </c>
      <c r="D19" s="6" t="inlineStr">
        <is>
          <t>No anonymous free model</t>
        </is>
      </c>
      <c r="E19" s="6" t="inlineStr">
        <is>
          <t>Haiku 4.5 for approved low-risk text</t>
        </is>
      </c>
      <c r="F19" s="6" t="inlineStr">
        <is>
          <t>Sonnet 5</t>
        </is>
      </c>
      <c r="G19" s="6" t="inlineStr">
        <is>
          <t>Approved account only</t>
        </is>
      </c>
      <c r="H19" s="6" t="inlineStr">
        <is>
          <t>Never send unless asked; change only agent/CRM-created events</t>
        </is>
      </c>
      <c r="I19" s="6" t="inlineStr">
        <is>
          <t>High</t>
        </is>
      </c>
    </row>
    <row r="20" ht="46" customHeight="1">
      <c r="B20" s="6" t="inlineStr">
        <is>
          <t>Credit/provider monitoring</t>
        </is>
      </c>
      <c r="C20" s="6" t="inlineStr">
        <is>
          <t>Balance, delta, anomaly</t>
        </is>
      </c>
      <c r="D20" s="6" t="inlineStr">
        <is>
          <t>No-agent script</t>
        </is>
      </c>
      <c r="E20" s="6" t="inlineStr">
        <is>
          <t>Step FREE only if anomaly needs explanation</t>
        </is>
      </c>
      <c r="F20" s="6" t="inlineStr">
        <is>
          <t>None</t>
        </is>
      </c>
      <c r="G20" s="6" t="inlineStr">
        <is>
          <t>Billing metadata only</t>
        </is>
      </c>
      <c r="H20" s="6" t="inlineStr">
        <is>
          <t>Never auto-purchase</t>
        </is>
      </c>
      <c r="I20" s="6" t="inlineStr">
        <is>
          <t>High</t>
        </is>
      </c>
    </row>
  </sheetData>
  <mergeCells count="2">
    <mergeCell ref="B3:N3"/>
    <mergeCell ref="B2:N2"/>
  </mergeCells>
  <pageMargins left="0.75" right="0.75" top="1" bottom="1" header="0.5" footer="0.5"/>
  <pageSetup orientation="landscape" fitToHeight="0" fitToWidth="1"/>
  <headerFooter>
    <oddHeader/>
    <oddFooter>&amp;CGenerated 2026-09-15 | Nous prices change live; verify before deployment&amp;RPage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06" customWidth="1" min="3" max="3"/>
    <col width="31" customWidth="1" min="4" max="4"/>
    <col width="62" customWidth="1" min="5" max="5"/>
    <col width="34" customWidth="1" min="6" max="6"/>
    <col width="26" customWidth="1" min="7" max="7"/>
    <col width="15" customWidth="1" min="8" max="8"/>
    <col width="25" customWidth="1" min="9" max="9"/>
    <col width="23" customWidth="1" min="10" max="10"/>
    <col width="34" customWidth="1" min="11" max="11"/>
  </cols>
  <sheetData>
    <row r="1"/>
    <row r="2" ht="28" customHeight="1">
      <c r="B2" s="1" t="inlineStr">
        <is>
          <t>Factory: Intake → Isolate → Build → Prove → Ship</t>
        </is>
      </c>
    </row>
    <row r="3" ht="34" customHeight="1">
      <c r="B3" s="2" t="inlineStr">
        <is>
          <t>Ras Mic’s four stages are retained; Intake and Observe are added for a privacy-first SaaS. Five or six markdown files make the workflow harness/model independent.</t>
        </is>
      </c>
    </row>
    <row r="4"/>
    <row r="5"/>
    <row r="6" ht="36" customHeight="1">
      <c r="B6" s="5" t="inlineStr">
        <is>
          <t>Stage</t>
        </is>
      </c>
      <c r="C6" s="5" t="inlineStr">
        <is>
          <t>Markdown control</t>
        </is>
      </c>
      <c r="D6" s="5" t="inlineStr">
        <is>
          <t>Model</t>
        </is>
      </c>
      <c r="E6" s="5" t="inlineStr">
        <is>
          <t>Copy-paste instruction/command</t>
        </is>
      </c>
      <c r="F6" s="5" t="inlineStr">
        <is>
          <t>Done when</t>
        </is>
      </c>
      <c r="G6" s="5" t="inlineStr">
        <is>
          <t>Human gate</t>
        </is>
      </c>
      <c r="H6" s="5" t="inlineStr">
        <is>
          <t>Time</t>
        </is>
      </c>
      <c r="I6" s="5" t="inlineStr">
        <is>
          <t>Gain</t>
        </is>
      </c>
      <c r="J6" s="5" t="inlineStr">
        <is>
          <t>Risk</t>
        </is>
      </c>
      <c r="K6" s="5" t="inlineStr">
        <is>
          <t>Mitigation</t>
        </is>
      </c>
    </row>
    <row r="7" ht="58" customHeight="1">
      <c r="B7" s="6" t="inlineStr">
        <is>
          <t>0 Intake</t>
        </is>
      </c>
      <c r="C7" s="6" t="inlineStr">
        <is>
          <t>FEATURE.md</t>
        </is>
      </c>
      <c r="D7" s="6" t="inlineStr">
        <is>
          <t>Qwen3 235B; Solar FREE if sanitized</t>
        </is>
      </c>
      <c r="E7" s="6" t="inlineStr">
        <is>
          <t>Turn request into scope, non-goals, impacted files, risks, acceptance tests, proof plan and rollback. Do not code.</t>
        </is>
      </c>
      <c r="F7" s="6" t="inlineStr">
        <is>
          <t>Approved brief</t>
        </is>
      </c>
      <c r="G7" s="6" t="inlineStr">
        <is>
          <t>You</t>
        </is>
      </c>
      <c r="H7" s="6" t="inlineStr">
        <is>
          <t>10–30 min</t>
        </is>
      </c>
      <c r="I7" s="6" t="inlineStr">
        <is>
          <t>Fewer reworks</t>
        </is>
      </c>
      <c r="J7" s="6" t="inlineStr">
        <is>
          <t>Wrong scope</t>
        </is>
      </c>
      <c r="K7" s="6" t="inlineStr">
        <is>
          <t>No build before approval</t>
        </is>
      </c>
    </row>
    <row r="8" ht="58" customHeight="1">
      <c r="B8" s="6" t="inlineStr">
        <is>
          <t>1 Isolate</t>
        </is>
      </c>
      <c r="C8" s="6" t="inlineStr">
        <is>
          <t>new-feature.md</t>
        </is>
      </c>
      <c r="D8" s="6" t="inlineStr">
        <is>
          <t>No LLM + shell</t>
        </is>
      </c>
      <c r="E8" s="6" t="inlineStr">
        <is>
          <t>git fetch origin &amp;&amp; git worktree add ../wt-&lt;ID&gt; -b feat/&lt;ID&gt; origin/main</t>
        </is>
      </c>
      <c r="F8" s="6" t="inlineStr">
        <is>
          <t>Clean worktree/branch from origin/main</t>
        </is>
      </c>
      <c r="G8" s="6" t="inlineStr">
        <is>
          <t>Agent reports path; you inspect</t>
        </is>
      </c>
      <c r="H8" s="6" t="inlineStr">
        <is>
          <t>2–5 min</t>
        </is>
      </c>
      <c r="I8" s="6" t="inlineStr">
        <is>
          <t>Conflict-free parallel work</t>
        </is>
      </c>
      <c r="J8" s="6" t="inlineStr">
        <is>
          <t>Wrong base</t>
        </is>
      </c>
      <c r="K8" s="6" t="inlineStr">
        <is>
          <t>git status + branch check</t>
        </is>
      </c>
    </row>
    <row r="9" ht="58" customHeight="1">
      <c r="B9" s="6" t="inlineStr">
        <is>
          <t>2 Build</t>
        </is>
      </c>
      <c r="C9" s="6" t="inlineStr">
        <is>
          <t>code-structure.md</t>
        </is>
      </c>
      <c r="D9" s="6" t="inlineStr">
        <is>
          <t>Qwen3 Coder 30B/480B; Laguna FREE canary</t>
        </is>
      </c>
      <c r="E9" s="6" t="inlineStr">
        <is>
          <t>Implement approved scope only. Use service layer, reversible migration, tests, no secrets, no unrelated refactor.</t>
        </is>
      </c>
      <c r="F9" s="6" t="inlineStr">
        <is>
          <t>Lint/type/unit green</t>
        </is>
      </c>
      <c r="G9" s="6" t="inlineStr">
        <is>
          <t>No prod credentials</t>
        </is>
      </c>
      <c r="H9" s="6" t="inlineStr">
        <is>
          <t>30 min–1 day</t>
        </is>
      </c>
      <c r="I9" s="6" t="inlineStr">
        <is>
          <t>Cheap throughput</t>
        </is>
      </c>
      <c r="J9" s="6" t="inlineStr">
        <is>
          <t>Sloppy code</t>
        </is>
      </c>
      <c r="K9" s="6" t="inlineStr">
        <is>
          <t>Small tickets + CI</t>
        </is>
      </c>
    </row>
    <row r="10" ht="58" customHeight="1">
      <c r="B10" s="6" t="inlineStr">
        <is>
          <t>3 Prove</t>
        </is>
      </c>
      <c r="C10" s="6" t="inlineStr">
        <is>
          <t>evidence-driven-testing.md + before-after.md</t>
        </is>
      </c>
      <c r="D10" s="6" t="inlineStr">
        <is>
          <t>Scripts first; Qwen interprets failure; Sonnet validates</t>
        </is>
      </c>
      <c r="E10" s="6" t="inlineStr">
        <is>
          <t>Map every acceptance criterion to command, result and artifact. Capture before/after UI or numeric metric.</t>
        </is>
      </c>
      <c r="F10" s="6" t="inlineStr">
        <is>
          <t>Evidence bundle complete</t>
        </is>
      </c>
      <c r="G10" s="6" t="inlineStr">
        <is>
          <t>You inspect visual proof</t>
        </is>
      </c>
      <c r="H10" s="6" t="inlineStr">
        <is>
          <t>10–60 min</t>
        </is>
      </c>
      <c r="I10" s="6" t="inlineStr">
        <is>
          <t>Trust evidence, not claims</t>
        </is>
      </c>
      <c r="J10" s="6" t="inlineStr">
        <is>
          <t>False positive</t>
        </is>
      </c>
      <c r="K10" s="6" t="inlineStr">
        <is>
          <t>Replay clean environment</t>
        </is>
      </c>
    </row>
    <row r="11" ht="58" customHeight="1">
      <c r="B11" s="6" t="inlineStr">
        <is>
          <t>4 Ship</t>
        </is>
      </c>
      <c r="C11" s="6" t="inlineStr">
        <is>
          <t>ship-review-loop.md</t>
        </is>
      </c>
      <c r="D11" s="6" t="inlineStr">
        <is>
          <t>Sonnet 5 gate; Opus 5 critical; Greptile/alternative</t>
        </is>
      </c>
      <c r="E11" s="6" t="inlineStr">
        <is>
          <t>Open PR with proof. Resolve review. Repeat Build → Prove → Review until 5/5 and zero unresolved comments.</t>
        </is>
      </c>
      <c r="F11" s="6" t="inlineStr">
        <is>
          <t>CI green; 5/5; rollback ready</t>
        </is>
      </c>
      <c r="G11" s="6" t="inlineStr">
        <is>
          <t>Human merge only</t>
        </is>
      </c>
      <c r="H11" s="6" t="inlineStr">
        <is>
          <t>15–120 min</t>
        </is>
      </c>
      <c r="I11" s="6" t="inlineStr">
        <is>
          <t>Higher quality</t>
        </is>
      </c>
      <c r="J11" s="6" t="inlineStr">
        <is>
          <t>Review-loop spend</t>
        </is>
      </c>
      <c r="K11" s="6" t="inlineStr">
        <is>
          <t>Iteration cap + escalation</t>
        </is>
      </c>
    </row>
    <row r="12" ht="58" customHeight="1">
      <c r="B12" s="6" t="inlineStr">
        <is>
          <t>5 Observe</t>
        </is>
      </c>
      <c r="C12" s="6" t="inlineStr">
        <is>
          <t>RUNBOOK.md</t>
        </is>
      </c>
      <c r="D12" s="6" t="inlineStr">
        <is>
          <t>No-agent cron; GLM/Solar only on material change</t>
        </is>
      </c>
      <c r="E12" s="6" t="inlineStr">
        <is>
          <t>If NO_CHANGE output [SILENT]. If changed, cite evidence, severity and next check. Never mutate production.</t>
        </is>
      </c>
      <c r="F12" s="6" t="inlineStr">
        <is>
          <t>Material alerts only</t>
        </is>
      </c>
      <c r="G12" s="6" t="inlineStr">
        <is>
          <t>Human remediates</t>
        </is>
      </c>
      <c r="H12" s="6" t="inlineStr">
        <is>
          <t>1–5 min/run</t>
        </is>
      </c>
      <c r="I12" s="6" t="inlineStr">
        <is>
          <t>Near-zero routine cost</t>
        </is>
      </c>
      <c r="J12" s="6" t="inlineStr">
        <is>
          <t>Noise/missed issue</t>
        </is>
      </c>
      <c r="K12" s="6" t="inlineStr">
        <is>
          <t>Thresholds + weekly audit</t>
        </is>
      </c>
    </row>
    <row r="13"/>
    <row r="14"/>
    <row r="15" ht="36" customHeight="1">
      <c r="B15" s="5" t="inlineStr">
        <is>
          <t>File</t>
        </is>
      </c>
      <c r="C15" s="5" t="inlineStr">
        <is>
          <t>Required content</t>
        </is>
      </c>
    </row>
    <row r="16" ht="42" customHeight="1">
      <c r="B16" s="6" t="inlineStr">
        <is>
          <t>AGENTS.md</t>
        </is>
      </c>
      <c r="C16" s="6" t="inlineStr">
        <is>
          <t>Master route: Intake → Isolate → Build → Prove → Ship → Observe; permission/privacy/model escalation rules.</t>
        </is>
      </c>
    </row>
    <row r="17" ht="42" customHeight="1">
      <c r="B17" s="6" t="inlineStr">
        <is>
          <t>skills/new-feature.md</t>
        </is>
      </c>
      <c r="C17" s="6" t="inlineStr">
        <is>
          <t>Creates worktree/branch; checks open PRs and changed files; never touches main or another agent’s worktree.</t>
        </is>
      </c>
    </row>
    <row r="18" ht="42" customHeight="1">
      <c r="B18" s="6" t="inlineStr">
        <is>
          <t>skills/code-structure.md</t>
        </is>
      </c>
      <c r="C18" s="6" t="inlineStr">
        <is>
          <t>Flask service-layer conventions, routes/services/repositories, migrations, error handling, logging and test expectations.</t>
        </is>
      </c>
    </row>
    <row r="19" ht="42" customHeight="1">
      <c r="B19" s="6" t="inlineStr">
        <is>
          <t>skills/evidence-driven-testing.md</t>
        </is>
      </c>
      <c r="C19" s="6" t="inlineStr">
        <is>
          <t>Acceptance-criterion test map, deterministic commands, regression suite and evidence manifest.</t>
        </is>
      </c>
    </row>
    <row r="20" ht="42" customHeight="1">
      <c r="B20" s="6" t="inlineStr">
        <is>
          <t>skills/before-after.md</t>
        </is>
      </c>
      <c r="C20" s="6" t="inlineStr">
        <is>
          <t>Screenshot/video/metric naming, storage and PR embedding rules.</t>
        </is>
      </c>
    </row>
    <row r="21" ht="42" customHeight="1">
      <c r="B21" s="6" t="inlineStr">
        <is>
          <t>skills/ship-review-loop.md</t>
        </is>
      </c>
      <c r="C21" s="6" t="inlineStr">
        <is>
          <t>PR template, independent reviewer, 5/5/zero-comment loop, iteration/cost cap, human merge.</t>
        </is>
      </c>
    </row>
    <row r="22" ht="42" customHeight="1">
      <c r="B22" s="6" t="inlineStr">
        <is>
          <t>RUNBOOK.md</t>
        </is>
      </c>
      <c r="C22" s="6" t="inlineStr">
        <is>
          <t>Deploy, health, backup, rollback, credential/fallback and incident rules.</t>
        </is>
      </c>
    </row>
  </sheetData>
  <mergeCells count="2">
    <mergeCell ref="B3:N3"/>
    <mergeCell ref="B2:N2"/>
  </mergeCells>
  <pageMargins left="0.75" right="0.75" top="1" bottom="1" header="0.5" footer="0.5"/>
  <pageSetup orientation="landscape" fitToHeight="0" fitToWidth="1"/>
  <headerFooter>
    <oddHeader/>
    <oddFooter>&amp;CGenerated 2026-09-15 | Nous prices change live; verify before deployment&amp;RPage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7" customWidth="1" min="2" max="2"/>
    <col width="110" customWidth="1" min="3" max="3"/>
    <col width="42" customWidth="1" min="4" max="4"/>
    <col width="36" customWidth="1" min="5" max="5"/>
    <col width="38" customWidth="1" min="6" max="6"/>
    <col width="39" customWidth="1" min="7" max="7"/>
    <col width="17" customWidth="1" min="8" max="8"/>
    <col width="14" customWidth="1" min="9" max="9"/>
  </cols>
  <sheetData>
    <row r="1"/>
    <row r="2" ht="28" customHeight="1">
      <c r="B2" s="1" t="inlineStr">
        <is>
          <t>Cronjobs: zero-cost by default</t>
        </is>
      </c>
    </row>
    <row r="3" ht="34" customHeight="1">
      <c r="B3" s="2" t="inlineStr">
        <is>
          <t>Hermes cron runs each tick in a fresh isolated session: every prompt must be self-contained. Prefer --no-agent scripts and call a free/cheap model only after deterministic CHANGE_DETECTED.</t>
        </is>
      </c>
    </row>
    <row r="4"/>
    <row r="5"/>
    <row r="6" ht="36" customHeight="1">
      <c r="B6" s="5" t="inlineStr">
        <is>
          <t>Job</t>
        </is>
      </c>
      <c r="C6" s="5" t="inlineStr">
        <is>
          <t>Schedule</t>
        </is>
      </c>
      <c r="D6" s="5" t="inlineStr">
        <is>
          <t>Deterministic stage</t>
        </is>
      </c>
      <c r="E6" s="5" t="inlineStr">
        <is>
          <t>Model stage</t>
        </is>
      </c>
      <c r="F6" s="5" t="inlineStr">
        <is>
          <t>Silence/output rule</t>
        </is>
      </c>
      <c r="G6" s="5" t="inlineStr">
        <is>
          <t>Permission boundary</t>
        </is>
      </c>
      <c r="H6" s="5" t="inlineStr">
        <is>
          <t>Setup time</t>
        </is>
      </c>
      <c r="I6" s="5" t="inlineStr">
        <is>
          <t>Priority</t>
        </is>
      </c>
    </row>
    <row r="7" ht="45" customHeight="1">
      <c r="B7" s="6" t="inlineStr">
        <is>
          <t>LexFlow health</t>
        </is>
      </c>
      <c r="C7" s="6" t="inlineStr">
        <is>
          <t>every 15m</t>
        </is>
      </c>
      <c r="D7" s="6" t="inlineStr">
        <is>
          <t>No-agent curl/read-only DB smoke</t>
        </is>
      </c>
      <c r="E7" s="6" t="inlineStr">
        <is>
          <t>None until repeated failure</t>
        </is>
      </c>
      <c r="F7" s="6" t="inlineStr">
        <is>
          <t>Alert after 3 failures</t>
        </is>
      </c>
      <c r="G7" s="6" t="inlineStr">
        <is>
          <t>Read only; no restart/deploy</t>
        </is>
      </c>
      <c r="H7" s="6" t="inlineStr">
        <is>
          <t>45–90 min</t>
        </is>
      </c>
      <c r="I7" s="6" t="inlineStr">
        <is>
          <t>High</t>
        </is>
      </c>
    </row>
    <row r="8" ht="45" customHeight="1">
      <c r="B8" s="6" t="inlineStr">
        <is>
          <t>CRM backup verify</t>
        </is>
      </c>
      <c r="C8" s="6" t="inlineStr">
        <is>
          <t>30 2 * * *</t>
        </is>
      </c>
      <c r="D8" s="6" t="inlineStr">
        <is>
          <t>No-agent age/size/restore-test check</t>
        </is>
      </c>
      <c r="E8" s="6" t="inlineStr">
        <is>
          <t>None</t>
        </is>
      </c>
      <c r="F8" s="6" t="inlineStr">
        <is>
          <t>Alert only failure</t>
        </is>
      </c>
      <c r="G8" s="6" t="inlineStr">
        <is>
          <t>Never delete/restore production</t>
        </is>
      </c>
      <c r="H8" s="6" t="inlineStr">
        <is>
          <t>30–90 min</t>
        </is>
      </c>
      <c r="I8" s="6" t="inlineStr">
        <is>
          <t>High</t>
        </is>
      </c>
    </row>
    <row r="9" ht="45" customHeight="1">
      <c r="B9" s="6" t="inlineStr">
        <is>
          <t>Credit/provider delta</t>
        </is>
      </c>
      <c r="C9" s="6" t="inlineStr">
        <is>
          <t>10 7 * * *</t>
        </is>
      </c>
      <c r="D9" s="6" t="inlineStr">
        <is>
          <t>No-agent fetch snapshot/delta</t>
        </is>
      </c>
      <c r="E9" s="6" t="inlineStr">
        <is>
          <t>Step 3.7 FREE on anomaly</t>
        </is>
      </c>
      <c r="F9" s="6" t="inlineStr">
        <is>
          <t>[SILENT] if normal</t>
        </is>
      </c>
      <c r="G9" s="6" t="inlineStr">
        <is>
          <t>Never purchase/top-up</t>
        </is>
      </c>
      <c r="H9" s="6" t="inlineStr">
        <is>
          <t>30–60 min</t>
        </is>
      </c>
      <c r="I9" s="6" t="inlineStr">
        <is>
          <t>High</t>
        </is>
      </c>
    </row>
    <row r="10" ht="45" customHeight="1">
      <c r="B10" s="6" t="inlineStr">
        <is>
          <t>SEO/GSC delta</t>
        </is>
      </c>
      <c r="C10" s="6" t="inlineStr">
        <is>
          <t>0 8 * * 1-5</t>
        </is>
      </c>
      <c r="D10" s="6" t="inlineStr">
        <is>
          <t>Script exports GSC/crawl and compares snapshot</t>
        </is>
      </c>
      <c r="E10" s="6" t="inlineStr">
        <is>
          <t>Solar FREE; GLM 5.3 Flash fallback</t>
        </is>
      </c>
      <c r="F10" s="6" t="inlineStr">
        <is>
          <t>Max 3 evidence-linked actions</t>
        </is>
      </c>
      <c r="G10" s="6" t="inlineStr">
        <is>
          <t>Read only; no publishing</t>
        </is>
      </c>
      <c r="H10" s="6" t="inlineStr">
        <is>
          <t>1–3 h</t>
        </is>
      </c>
      <c r="I10" s="6" t="inlineStr">
        <is>
          <t>High</t>
        </is>
      </c>
    </row>
    <row r="11" ht="45" customHeight="1">
      <c r="B11" s="6" t="inlineStr">
        <is>
          <t>Weekly SEO/GEO brief</t>
        </is>
      </c>
      <c r="C11" s="6" t="inlineStr">
        <is>
          <t>0 9 * * 1</t>
        </is>
      </c>
      <c r="D11" s="6" t="inlineStr">
        <is>
          <t>Aggregate seven snapshots</t>
        </is>
      </c>
      <c r="E11" s="6" t="inlineStr">
        <is>
          <t>Solar FREE; Qwen3 235B fallback</t>
        </is>
      </c>
      <c r="F11" s="6" t="inlineStr">
        <is>
          <t>Never invent metrics</t>
        </is>
      </c>
      <c r="G11" s="6" t="inlineStr">
        <is>
          <t>Airtable update remains draft</t>
        </is>
      </c>
      <c r="H11" s="6" t="inlineStr">
        <is>
          <t>45–90 min</t>
        </is>
      </c>
      <c r="I11" s="6" t="inlineStr">
        <is>
          <t>High</t>
        </is>
      </c>
    </row>
    <row r="12" ht="45" customHeight="1">
      <c r="B12" s="6" t="inlineStr">
        <is>
          <t>GitHub/CI triage</t>
        </is>
      </c>
      <c r="C12" s="6" t="inlineStr">
        <is>
          <t>0 20 * * *</t>
        </is>
      </c>
      <c r="D12" s="6" t="inlineStr">
        <is>
          <t>Collect only new failures/PR changes</t>
        </is>
      </c>
      <c r="E12" s="6" t="inlineStr">
        <is>
          <t>Laguna FREE; Qwen Coder 30B fallback</t>
        </is>
      </c>
      <c r="F12" s="6" t="inlineStr">
        <is>
          <t>Return URL/test/next command</t>
        </is>
      </c>
      <c r="G12" s="6" t="inlineStr">
        <is>
          <t>No push/merge</t>
        </is>
      </c>
      <c r="H12" s="6" t="inlineStr">
        <is>
          <t>45–90 min</t>
        </is>
      </c>
      <c r="I12" s="6" t="inlineStr">
        <is>
          <t>Medium</t>
        </is>
      </c>
    </row>
    <row r="13" ht="45" customHeight="1">
      <c r="B13" s="6" t="inlineStr">
        <is>
          <t>Obsidian hygiene</t>
        </is>
      </c>
      <c r="C13" s="6" t="inlineStr">
        <is>
          <t>30 21 * * *</t>
        </is>
      </c>
      <c r="D13" s="6" t="inlineStr">
        <is>
          <t>No-agent duplicates/broken-links/folder-boundary scan</t>
        </is>
      </c>
      <c r="E13" s="6" t="inlineStr">
        <is>
          <t>Solar FREE summarizes flags</t>
        </is>
      </c>
      <c r="F13" s="6" t="inlineStr">
        <is>
          <t>Write proposals to staging</t>
        </is>
      </c>
      <c r="G13" s="6" t="inlineStr">
        <is>
          <t>Never edit personal/permanent notes</t>
        </is>
      </c>
      <c r="H13" s="6" t="inlineStr">
        <is>
          <t>1–2 h</t>
        </is>
      </c>
      <c r="I13" s="6" t="inlineStr">
        <is>
          <t>High</t>
        </is>
      </c>
    </row>
    <row r="14" ht="45" customHeight="1">
      <c r="B14" s="6" t="inlineStr">
        <is>
          <t>Dependency security</t>
        </is>
      </c>
      <c r="C14" s="6" t="inlineStr">
        <is>
          <t>0 3 * * 0</t>
        </is>
      </c>
      <c r="D14" s="6" t="inlineStr">
        <is>
          <t>No-agent pip-audit/npm-audit</t>
        </is>
      </c>
      <c r="E14" s="6" t="inlineStr">
        <is>
          <t>Sonnet only for requested remediation</t>
        </is>
      </c>
      <c r="F14" s="6" t="inlineStr">
        <is>
          <t>Alert CVSS/affected/fixed version</t>
        </is>
      </c>
      <c r="G14" s="6" t="inlineStr">
        <is>
          <t>No automatic upgrade/deploy</t>
        </is>
      </c>
      <c r="H14" s="6" t="inlineStr">
        <is>
          <t>45–120 min</t>
        </is>
      </c>
      <c r="I14" s="6" t="inlineStr">
        <is>
          <t>High</t>
        </is>
      </c>
    </row>
    <row r="15" ht="45" customHeight="1">
      <c r="B15" s="6" t="inlineStr">
        <is>
          <t>Airtable milestone draft</t>
        </is>
      </c>
      <c r="C15" s="6" t="inlineStr">
        <is>
          <t>0 16 * * 5</t>
        </is>
      </c>
      <c r="D15" s="6" t="inlineStr">
        <is>
          <t>Read approved sources and create diff</t>
        </is>
      </c>
      <c r="E15" s="6" t="inlineStr">
        <is>
          <t>Solar FREE; GLM fallback</t>
        </is>
      </c>
      <c r="F15" s="6" t="inlineStr">
        <is>
          <t>Draft row changes only</t>
        </is>
      </c>
      <c r="G15" s="6" t="inlineStr">
        <is>
          <t>Specific approval before write</t>
        </is>
      </c>
      <c r="H15" s="6" t="inlineStr">
        <is>
          <t>45–90 min</t>
        </is>
      </c>
      <c r="I15" s="6" t="inlineStr">
        <is>
          <t>High</t>
        </is>
      </c>
    </row>
    <row r="16"/>
    <row r="17"/>
    <row r="18" ht="36" customHeight="1">
      <c r="B18" s="5" t="inlineStr">
        <is>
          <t>Action</t>
        </is>
      </c>
      <c r="C18" s="5" t="inlineStr">
        <is>
          <t>Copy-paste commands</t>
        </is>
      </c>
    </row>
    <row r="19" ht="50" customHeight="1">
      <c r="B19" s="6" t="inlineStr">
        <is>
          <t>Gateway</t>
        </is>
      </c>
      <c r="C19" s="6" t="inlineStr">
        <is>
          <t>hermes gateway install
hermes gateway start
hermes cron status</t>
        </is>
      </c>
    </row>
    <row r="20" ht="50" customHeight="1">
      <c r="B20" s="6" t="inlineStr">
        <is>
          <t>No-agent job</t>
        </is>
      </c>
      <c r="C20" s="6" t="inlineStr">
        <is>
          <t>hermes cron create "every 15m" --no-agent --script ~/.hermes/scripts/lexflow-health.sh --deliver telegram --name "lexflow-health"</t>
        </is>
      </c>
    </row>
    <row r="21" ht="50" customHeight="1">
      <c r="B21" s="6" t="inlineStr">
        <is>
          <t>Script + model only on change</t>
        </is>
      </c>
      <c r="C21" s="6" t="inlineStr">
        <is>
          <t>hermes cron create "0 8 * * 1-5" "If NO_CHANGE, output [SILENT]. If CHANGE_DETECTED, cite evidence and return max 3 actions." --script ~/.hermes/scripts/seo-delta.py --deliver local --name "seo-delta"</t>
        </is>
      </c>
    </row>
    <row r="22" ht="50" customHeight="1">
      <c r="B22" s="6" t="inlineStr">
        <is>
          <t>Test</t>
        </is>
      </c>
      <c r="C22" s="6" t="inlineStr">
        <is>
          <t>hermes cron list
hermes cron run &lt;job_id&gt;
hermes logs</t>
        </is>
      </c>
    </row>
    <row r="23" ht="50" customHeight="1">
      <c r="B23" s="6" t="inlineStr">
        <is>
          <t>Free route</t>
        </is>
      </c>
      <c r="C23" s="6" t="inlineStr">
        <is>
          <t>hermes model
# Select exact FREE Nous entry, or OpenCode Free for public/non-confidential data only</t>
        </is>
      </c>
    </row>
    <row r="24" ht="50" customHeight="1">
      <c r="B24" s="6" t="inlineStr">
        <is>
          <t>Fallback</t>
        </is>
      </c>
      <c r="C24" s="6" t="inlineStr">
        <is>
          <t>hermes fallback
# Add a separately authenticated provider/model, then test on a non-critical job</t>
        </is>
      </c>
    </row>
  </sheetData>
  <mergeCells count="2">
    <mergeCell ref="B3:O3"/>
    <mergeCell ref="B2:O2"/>
  </mergeCells>
  <pageMargins left="0.75" right="0.75" top="1" bottom="1" header="0.5" footer="0.5"/>
  <pageSetup orientation="landscape" fitToHeight="0" fitToWidth="1"/>
  <headerFooter>
    <oddHeader/>
    <oddFooter>&amp;CGenerated 2026-09-15 | Nous prices change live; verify before deployment&amp;RPage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100" customWidth="1" min="3" max="3"/>
    <col width="17" customWidth="1" min="4" max="4"/>
    <col width="20" customWidth="1" min="5" max="5"/>
    <col width="42" customWidth="1" min="6" max="6"/>
  </cols>
  <sheetData>
    <row r="1"/>
    <row r="2" ht="28" customHeight="1">
      <c r="B2" s="1" t="inlineStr">
        <is>
          <t>Cost, stability and subscription decision</t>
        </is>
      </c>
    </row>
    <row r="3" ht="34" customHeight="1">
      <c r="B3" s="2" t="inlineStr">
        <is>
          <t>Use direct-key or Nous Portal routes inside Hermes; use Claude subscription natively in Claude Code. Do not assume a consumer subscription funds Hermes/API use.</t>
        </is>
      </c>
    </row>
    <row r="4"/>
    <row r="5"/>
    <row r="6" ht="36" customHeight="1">
      <c r="B6" s="5" t="inlineStr">
        <is>
          <t>Dimension</t>
        </is>
      </c>
      <c r="C6" s="5" t="inlineStr">
        <is>
          <t>Nous / free stack</t>
        </is>
      </c>
      <c r="D6" s="5" t="inlineStr">
        <is>
          <t>Claude</t>
        </is>
      </c>
      <c r="E6" s="5" t="inlineStr">
        <is>
          <t>Decision</t>
        </is>
      </c>
    </row>
    <row r="7" ht="42" customHeight="1">
      <c r="B7" s="6" t="inlineStr">
        <is>
          <t>Parallel volume</t>
        </is>
      </c>
      <c r="C7" s="6" t="inlineStr">
        <is>
          <t>Nous/free: many low-cost workers</t>
        </is>
      </c>
      <c r="D7" s="6" t="inlineStr">
        <is>
          <t>Claude subscription: shared plan limits</t>
        </is>
      </c>
      <c r="E7" s="6" t="inlineStr">
        <is>
          <t>Nous workers + queue cap</t>
        </is>
      </c>
    </row>
    <row r="8" ht="42" customHeight="1">
      <c r="B8" s="6" t="inlineStr">
        <is>
          <t>Daily interactive coding</t>
        </is>
      </c>
      <c r="C8" s="6" t="inlineStr">
        <is>
          <t>More routing/setup</t>
        </is>
      </c>
      <c r="D8" s="6" t="inlineStr">
        <is>
          <t>Claude Code is lower friction</t>
        </is>
      </c>
      <c r="E8" s="6" t="inlineStr">
        <is>
          <t>Claude Sonnet for your hands-on session</t>
        </is>
      </c>
    </row>
    <row r="9" ht="42" customHeight="1">
      <c r="B9" s="6" t="inlineStr">
        <is>
          <t>Confidential LexFlow data</t>
        </is>
      </c>
      <c r="C9" s="6" t="inlineStr">
        <is>
          <t>Avoid anonymous/rotating free routes</t>
        </is>
      </c>
      <c r="D9" s="6" t="inlineStr">
        <is>
          <t>Use approved commercial/API account</t>
        </is>
      </c>
      <c r="E9" s="6" t="inlineStr">
        <is>
          <t>Classify data before model selection</t>
        </is>
      </c>
    </row>
    <row r="10" ht="42" customHeight="1">
      <c r="B10" s="6" t="inlineStr">
        <is>
          <t>OAuth/API failure</t>
        </is>
      </c>
      <c r="C10" s="6" t="inlineStr">
        <is>
          <t>Multiple layers may fail</t>
        </is>
      </c>
      <c r="D10" s="6" t="inlineStr">
        <is>
          <t>Fewer native layers, still rate/usage limits</t>
        </is>
      </c>
      <c r="E10" s="6" t="inlineStr">
        <is>
          <t>Preflight + direct key + fallback chain</t>
        </is>
      </c>
    </row>
    <row r="11" ht="42" customHeight="1">
      <c r="B11" s="6" t="inlineStr">
        <is>
          <t>Best economics</t>
        </is>
      </c>
      <c r="C11" s="6" t="inlineStr">
        <is>
          <t>Free/no-agent and Qwen/GLM promos</t>
        </is>
      </c>
      <c r="D11" s="6" t="inlineStr">
        <is>
          <t>Premium quality when it prevents rework</t>
        </is>
      </c>
      <c r="E11" s="6" t="inlineStr">
        <is>
          <t>Escalate by risk, not habit</t>
        </is>
      </c>
    </row>
    <row r="12" ht="42" customHeight="1">
      <c r="B12" s="6" t="inlineStr">
        <is>
          <t>Merge/deploy authority</t>
        </is>
      </c>
      <c r="C12" s="6" t="inlineStr">
        <is>
          <t>Never</t>
        </is>
      </c>
      <c r="D12" s="6" t="inlineStr">
        <is>
          <t>Never</t>
        </is>
      </c>
      <c r="E12" s="6" t="inlineStr">
        <is>
          <t>Human only</t>
        </is>
      </c>
    </row>
    <row r="13" ht="42" customHeight="1">
      <c r="B13" s="6" t="inlineStr">
        <is>
          <t>Suggested subscription</t>
        </is>
      </c>
      <c r="C13" s="6" t="inlineStr">
        <is>
          <t>Nous credits for batch</t>
        </is>
      </c>
      <c r="D13" s="6" t="inlineStr">
        <is>
          <t>Claude Pro for daily Claude Code; Max only after measured need</t>
        </is>
      </c>
      <c r="E13" s="6" t="inlineStr">
        <is>
          <t>Start hybrid; review after 30 days</t>
        </is>
      </c>
    </row>
    <row r="14"/>
    <row r="15"/>
    <row r="16">
      <c r="B16" s="11" t="inlineStr">
        <is>
          <t>Editable API cost scenario</t>
        </is>
      </c>
    </row>
    <row r="17">
      <c r="B17" s="9" t="inlineStr">
        <is>
          <t>Tasks</t>
        </is>
      </c>
      <c r="C17" s="12" t="n">
        <v>100</v>
      </c>
    </row>
    <row r="18">
      <c r="B18" s="9" t="inlineStr">
        <is>
          <t>Input tokens/task</t>
        </is>
      </c>
      <c r="C18" s="12" t="n">
        <v>50000</v>
      </c>
    </row>
    <row r="19">
      <c r="B19" s="9" t="inlineStr">
        <is>
          <t>Output tokens/task</t>
        </is>
      </c>
      <c r="C19" s="12" t="n">
        <v>10000</v>
      </c>
    </row>
    <row r="20">
      <c r="B20" s="9" t="inlineStr">
        <is>
          <t>Claude review share</t>
        </is>
      </c>
      <c r="C20" s="13" t="n">
        <v>0.2</v>
      </c>
    </row>
    <row r="21"/>
    <row r="22" ht="36" customHeight="1">
      <c r="B22" s="5" t="inlineStr">
        <is>
          <t>Route</t>
        </is>
      </c>
      <c r="C22" s="5" t="inlineStr">
        <is>
          <t>Input $/1M</t>
        </is>
      </c>
      <c r="D22" s="5" t="inlineStr">
        <is>
          <t>Output $/1M</t>
        </is>
      </c>
      <c r="E22" s="5" t="inlineStr">
        <is>
          <t>100-task batch $</t>
        </is>
      </c>
      <c r="F22" s="5" t="inlineStr">
        <is>
          <t>Use</t>
        </is>
      </c>
    </row>
    <row r="23" ht="30" customHeight="1">
      <c r="B23" s="6" t="inlineStr">
        <is>
          <t>FREE</t>
        </is>
      </c>
      <c r="C23" s="7" t="n">
        <v>0</v>
      </c>
      <c r="D23" s="7" t="n">
        <v>0</v>
      </c>
      <c r="E23" s="7">
        <f>(C17*C18/1000000*C23)+(C17*C19/1000000*D23)</f>
        <v/>
      </c>
      <c r="F23" s="6" t="inlineStr">
        <is>
          <t>Low-risk/sanitized only</t>
        </is>
      </c>
    </row>
    <row r="24" ht="30" customHeight="1">
      <c r="B24" s="6" t="inlineStr">
        <is>
          <t>Qwen Coder 30B</t>
        </is>
      </c>
      <c r="C24" s="7" t="n">
        <v>0.07000000000000001</v>
      </c>
      <c r="D24" s="7" t="n">
        <v>0.27</v>
      </c>
      <c r="E24" s="7">
        <f>(C17*C18/1000000*C24)+(C17*C19/1000000*D24)</f>
        <v/>
      </c>
      <c r="F24" s="6" t="inlineStr">
        <is>
          <t>Small build/test</t>
        </is>
      </c>
    </row>
    <row r="25" ht="30" customHeight="1">
      <c r="B25" s="6" t="inlineStr">
        <is>
          <t>Qwen Coder 480B</t>
        </is>
      </c>
      <c r="C25" s="7" t="n">
        <v>0.22</v>
      </c>
      <c r="D25" s="7" t="n">
        <v>1.8</v>
      </c>
      <c r="E25" s="7">
        <f>(C17*C18/1000000*C25)+(C17*C19/1000000*D25)</f>
        <v/>
      </c>
      <c r="F25" s="6" t="inlineStr">
        <is>
          <t>Large build</t>
        </is>
      </c>
    </row>
    <row r="26" ht="30" customHeight="1">
      <c r="B26" s="6" t="inlineStr">
        <is>
          <t>GLM 5.3 Flash</t>
        </is>
      </c>
      <c r="C26" s="7" t="n">
        <v>0.07000000000000001</v>
      </c>
      <c r="D26" s="7" t="n">
        <v>0.25</v>
      </c>
      <c r="E26" s="7">
        <f>(C17*C18/1000000*C26)+(C17*C19/1000000*D26)</f>
        <v/>
      </c>
      <c r="F26" s="6" t="inlineStr">
        <is>
          <t>Changed cron summary</t>
        </is>
      </c>
    </row>
    <row r="27" ht="30" customHeight="1">
      <c r="B27" s="6" t="inlineStr">
        <is>
          <t>Claude Haiku 4.5</t>
        </is>
      </c>
      <c r="C27" s="7" t="n">
        <v>1</v>
      </c>
      <c r="D27" s="7" t="n">
        <v>5</v>
      </c>
      <c r="E27" s="7">
        <f>(C17*C18/1000000*C27)+(C17*C19/1000000*D27)</f>
        <v/>
      </c>
      <c r="F27" s="6" t="inlineStr">
        <is>
          <t>Approved triage</t>
        </is>
      </c>
    </row>
    <row r="28" ht="30" customHeight="1">
      <c r="B28" s="6" t="inlineStr">
        <is>
          <t>Claude Sonnet 5</t>
        </is>
      </c>
      <c r="C28" s="7" t="n">
        <v>2</v>
      </c>
      <c r="D28" s="7" t="n">
        <v>10</v>
      </c>
      <c r="E28" s="7">
        <f>(C17*C18/1000000*C28)+(C17*C19/1000000*D28)</f>
        <v/>
      </c>
      <c r="F28" s="6" t="inlineStr">
        <is>
          <t>Premium coding/review</t>
        </is>
      </c>
    </row>
    <row r="29" ht="30" customHeight="1">
      <c r="B29" s="6" t="inlineStr">
        <is>
          <t>Claude Opus 5</t>
        </is>
      </c>
      <c r="C29" s="7" t="n">
        <v>5</v>
      </c>
      <c r="D29" s="7" t="n">
        <v>25</v>
      </c>
      <c r="E29" s="7">
        <f>(C17*C18/1000000*C29)+(C17*C19/1000000*D29)</f>
        <v/>
      </c>
      <c r="F29" s="6" t="inlineStr">
        <is>
          <t>Critical escalation</t>
        </is>
      </c>
    </row>
    <row r="30"/>
    <row r="31"/>
    <row r="32" ht="36" customHeight="1">
      <c r="B32" s="5" t="inlineStr">
        <is>
          <t>Control</t>
        </is>
      </c>
      <c r="C32" s="5" t="inlineStr">
        <is>
          <t>Implementation</t>
        </is>
      </c>
    </row>
    <row r="33" ht="36" customHeight="1">
      <c r="B33" s="6" t="inlineStr">
        <is>
          <t>Preflight</t>
        </is>
      </c>
      <c r="C33" s="6" t="inlineStr">
        <is>
          <t>Before every batch: provider auth, model existence, quota, one tiny completion, required tools.</t>
        </is>
      </c>
    </row>
    <row r="34" ht="36" customHeight="1">
      <c r="B34" s="6" t="inlineStr">
        <is>
          <t>Fallback</t>
        </is>
      </c>
      <c r="C34" s="6" t="inlineStr">
        <is>
          <t>Hermes config.yaml fallback_providers: separate provider and credential; auth 401/403 fails over immediately.</t>
        </is>
      </c>
    </row>
    <row r="35" ht="36" customHeight="1">
      <c r="B35" s="6" t="inlineStr">
        <is>
          <t>Checkpoint</t>
        </is>
      </c>
      <c r="C35" s="6" t="inlineStr">
        <is>
          <t>Every task writes state, commands, artifacts and next action to its worktree; never depend on chat memory.</t>
        </is>
      </c>
    </row>
    <row r="36" ht="36" customHeight="1">
      <c r="B36" s="6" t="inlineStr">
        <is>
          <t>Retry</t>
        </is>
      </c>
      <c r="C36" s="6" t="inlineStr">
        <is>
          <t>Max 2 transient retries with exponential delay; zero blind retries on auth errors.</t>
        </is>
      </c>
    </row>
    <row r="37" ht="36" customHeight="1">
      <c r="B37" s="6" t="inlineStr">
        <is>
          <t>Budget</t>
        </is>
      </c>
      <c r="C37" s="6" t="inlineStr">
        <is>
          <t>Per-task token/time/iteration ceiling; stop and escalate instead of looping.</t>
        </is>
      </c>
    </row>
    <row r="38" ht="36" customHeight="1">
      <c r="B38" s="6" t="inlineStr">
        <is>
          <t>Recovery</t>
        </is>
      </c>
      <c r="C38" s="6" t="inlineStr">
        <is>
          <t>Keep worktree; switch provider/model; resume from FEATURE.md and evidence manifest.</t>
        </is>
      </c>
    </row>
  </sheetData>
  <mergeCells count="2">
    <mergeCell ref="B2:L2"/>
    <mergeCell ref="B3:L3"/>
  </mergeCells>
  <conditionalFormatting sqref="E23:E29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pageSetup orientation="landscape" fitToHeight="0" fitToWidth="1"/>
  <headerFooter>
    <oddHeader/>
    <oddFooter>&amp;CGenerated 2026-09-15 | Nous prices change live; verify before deployment&amp;RPage &amp;P of &amp;N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  <col width="30" customWidth="1" min="4" max="4"/>
    <col width="18" customWidth="1" min="5" max="5"/>
    <col width="31" customWidth="1" min="6" max="6"/>
    <col width="26" customWidth="1" min="7" max="7"/>
    <col width="36" customWidth="1" min="8" max="8"/>
  </cols>
  <sheetData>
    <row r="1"/>
    <row r="2" ht="28" customHeight="1">
      <c r="B2" s="1" t="inlineStr">
        <is>
          <t>30-day implementation plan</t>
        </is>
      </c>
    </row>
    <row r="3" ht="34" customHeight="1">
      <c r="B3" s="2" t="inlineStr">
        <is>
          <t>Completion target: core factory in 7 days, validated routing and cron reliability in 30 days. Start reversible and scale only from measured evidence.</t>
        </is>
      </c>
    </row>
    <row r="4"/>
    <row r="5"/>
    <row r="6" ht="36" customHeight="1">
      <c r="B6" s="5" t="inlineStr">
        <is>
          <t>When</t>
        </is>
      </c>
      <c r="C6" s="5" t="inlineStr">
        <is>
          <t>Action</t>
        </is>
      </c>
      <c r="D6" s="5" t="inlineStr">
        <is>
          <t>Deliverable</t>
        </is>
      </c>
      <c r="E6" s="5" t="inlineStr">
        <is>
          <t>Time</t>
        </is>
      </c>
      <c r="F6" s="5" t="inlineStr">
        <is>
          <t>Model/cost lane</t>
        </is>
      </c>
      <c r="G6" s="5" t="inlineStr">
        <is>
          <t>Main risk</t>
        </is>
      </c>
      <c r="H6" s="5" t="inlineStr">
        <is>
          <t>Mitigation</t>
        </is>
      </c>
    </row>
    <row r="7" ht="44" customHeight="1">
      <c r="B7" s="6" t="inlineStr">
        <is>
          <t>Day 1</t>
        </is>
      </c>
      <c r="C7" s="6" t="inlineStr">
        <is>
          <t>Inventory repos, active branches, tests, deployments, secrets and cronjobs</t>
        </is>
      </c>
      <c r="D7" s="6" t="inlineStr">
        <is>
          <t>Repository map + redacted risk list</t>
        </is>
      </c>
      <c r="E7" s="6" t="inlineStr">
        <is>
          <t>2–3 h</t>
        </is>
      </c>
      <c r="F7" s="6" t="inlineStr">
        <is>
          <t>None</t>
        </is>
      </c>
      <c r="G7" s="6" t="inlineStr">
        <is>
          <t>Unknown dependencies</t>
        </is>
      </c>
      <c r="H7" s="6" t="inlineStr">
        <is>
          <t>No code change</t>
        </is>
      </c>
    </row>
    <row r="8" ht="44" customHeight="1">
      <c r="B8" s="6" t="inlineStr">
        <is>
          <t>Day 2</t>
        </is>
      </c>
      <c r="C8" s="6" t="inlineStr">
        <is>
          <t>Create six factory markdown files and PR template</t>
        </is>
      </c>
      <c r="D8" s="6" t="inlineStr">
        <is>
          <t>Committed operating manual</t>
        </is>
      </c>
      <c r="E8" s="6" t="inlineStr">
        <is>
          <t>3–5 h</t>
        </is>
      </c>
      <c r="F8" s="6" t="inlineStr">
        <is>
          <t>Solar FREE/Qwen3 235B</t>
        </is>
      </c>
      <c r="G8" s="6" t="inlineStr">
        <is>
          <t>Bad generic SOP</t>
        </is>
      </c>
      <c r="H8" s="6" t="inlineStr">
        <is>
          <t>Customize to Flask/SQLite/LexFlow</t>
        </is>
      </c>
    </row>
    <row r="9" ht="44" customHeight="1">
      <c r="B9" s="6" t="inlineStr">
        <is>
          <t>Day 3</t>
        </is>
      </c>
      <c r="C9" s="6" t="inlineStr">
        <is>
          <t>Protect main; build worktree helper; run dry test</t>
        </is>
      </c>
      <c r="D9" s="6" t="inlineStr">
        <is>
          <t>Repeatable isolate command</t>
        </is>
      </c>
      <c r="E9" s="6" t="inlineStr">
        <is>
          <t>2–4 h</t>
        </is>
      </c>
      <c r="F9" s="6" t="inlineStr">
        <is>
          <t>No LLM</t>
        </is>
      </c>
      <c r="G9" s="6" t="inlineStr">
        <is>
          <t>Branch mistakes</t>
        </is>
      </c>
      <c r="H9" s="6" t="inlineStr">
        <is>
          <t>Dry-run on disposable branch</t>
        </is>
      </c>
    </row>
    <row r="10" ht="44" customHeight="1">
      <c r="B10" s="6" t="inlineStr">
        <is>
          <t>Day 4</t>
        </is>
      </c>
      <c r="C10" s="6" t="inlineStr">
        <is>
          <t>Choose one tiny CRM bug; build with Qwen Coder 30B</t>
        </is>
      </c>
      <c r="D10" s="6" t="inlineStr">
        <is>
          <t>First isolated PR</t>
        </is>
      </c>
      <c r="E10" s="6" t="inlineStr">
        <is>
          <t>2–5 h</t>
        </is>
      </c>
      <c r="F10" s="6" t="inlineStr">
        <is>
          <t>Qwen 30B</t>
        </is>
      </c>
      <c r="G10" s="6" t="inlineStr">
        <is>
          <t>Poor implementation</t>
        </is>
      </c>
      <c r="H10" s="6" t="inlineStr">
        <is>
          <t>Synthetic data + tests</t>
        </is>
      </c>
    </row>
    <row r="11" ht="44" customHeight="1">
      <c r="B11" s="6" t="inlineStr">
        <is>
          <t>Day 5</t>
        </is>
      </c>
      <c r="C11" s="6" t="inlineStr">
        <is>
          <t>Add before/after evidence and independent review</t>
        </is>
      </c>
      <c r="D11" s="6" t="inlineStr">
        <is>
          <t>Evidence-complete PR</t>
        </is>
      </c>
      <c r="E11" s="6" t="inlineStr">
        <is>
          <t>2–4 h</t>
        </is>
      </c>
      <c r="F11" s="6" t="inlineStr">
        <is>
          <t>Sonnet 5 review</t>
        </is>
      </c>
      <c r="G11" s="6" t="inlineStr">
        <is>
          <t>Reviewer spend</t>
        </is>
      </c>
      <c r="H11" s="6" t="inlineStr">
        <is>
          <t>One iteration cap</t>
        </is>
      </c>
    </row>
    <row r="12" ht="44" customHeight="1">
      <c r="B12" s="6" t="inlineStr">
        <is>
          <t>Day 6</t>
        </is>
      </c>
      <c r="C12" s="6" t="inlineStr">
        <is>
          <t>Deploy health, backup and credit no-agent jobs</t>
        </is>
      </c>
      <c r="D12" s="6" t="inlineStr">
        <is>
          <t>3 durable cronjobs</t>
        </is>
      </c>
      <c r="E12" s="6" t="inlineStr">
        <is>
          <t>3–5 h</t>
        </is>
      </c>
      <c r="F12" s="6" t="inlineStr">
        <is>
          <t>No LLM</t>
        </is>
      </c>
      <c r="G12" s="6" t="inlineStr">
        <is>
          <t>False alerts</t>
        </is>
      </c>
      <c r="H12" s="6" t="inlineStr">
        <is>
          <t>Manual trigger and log inspection</t>
        </is>
      </c>
    </row>
    <row r="13" ht="44" customHeight="1">
      <c r="B13" s="6" t="inlineStr">
        <is>
          <t>Day 7</t>
        </is>
      </c>
      <c r="C13" s="6" t="inlineStr">
        <is>
          <t>Run two parallel low-risk features</t>
        </is>
      </c>
      <c r="D13" s="6" t="inlineStr">
        <is>
          <t>2 worktrees, 2 PRs</t>
        </is>
      </c>
      <c r="E13" s="6" t="inlineStr">
        <is>
          <t>0.5–1 day</t>
        </is>
      </c>
      <c r="F13" s="6" t="inlineStr">
        <is>
          <t>Qwen 30B/480B</t>
        </is>
      </c>
      <c r="G13" s="6" t="inlineStr">
        <is>
          <t>Conflicts/overload</t>
        </is>
      </c>
      <c r="H13" s="6" t="inlineStr">
        <is>
          <t>Concurrency = 2</t>
        </is>
      </c>
    </row>
    <row r="14" ht="44" customHeight="1">
      <c r="B14" s="6" t="inlineStr">
        <is>
          <t>Week 2</t>
        </is>
      </c>
      <c r="C14" s="6" t="inlineStr">
        <is>
          <t>Add SEO delta, Obsidian hygiene, CI triage</t>
        </is>
      </c>
      <c r="D14" s="6" t="inlineStr">
        <is>
          <t>Free-first cron layer</t>
        </is>
      </c>
      <c r="E14" s="6" t="inlineStr">
        <is>
          <t>1–2 days</t>
        </is>
      </c>
      <c r="F14" s="6" t="inlineStr">
        <is>
          <t>Solar/Laguna/Step FREE</t>
        </is>
      </c>
      <c r="G14" s="6" t="inlineStr">
        <is>
          <t>Privacy/noise</t>
        </is>
      </c>
      <c r="H14" s="6" t="inlineStr">
        <is>
          <t>Data boundaries + thresholds</t>
        </is>
      </c>
    </row>
    <row r="15" ht="44" customHeight="1">
      <c r="B15" s="6" t="inlineStr">
        <is>
          <t>Week 3</t>
        </is>
      </c>
      <c r="C15" s="6" t="inlineStr">
        <is>
          <t>Handle one medium CRM feature and one deploy</t>
        </is>
      </c>
      <c r="D15" s="6" t="inlineStr">
        <is>
          <t>End-to-end factory proof</t>
        </is>
      </c>
      <c r="E15" s="6" t="inlineStr">
        <is>
          <t>2–4 days</t>
        </is>
      </c>
      <c r="F15" s="6" t="inlineStr">
        <is>
          <t>Qwen 480B + Sonnet gate</t>
        </is>
      </c>
      <c r="G15" s="6" t="inlineStr">
        <is>
          <t>Escaped defect</t>
        </is>
      </c>
      <c r="H15" s="6" t="inlineStr">
        <is>
          <t>Staging and rollback</t>
        </is>
      </c>
    </row>
    <row r="16" ht="44" customHeight="1">
      <c r="B16" s="6" t="inlineStr">
        <is>
          <t>Week 4</t>
        </is>
      </c>
      <c r="C16" s="6" t="inlineStr">
        <is>
          <t>Review 10–20 tasks; tune routing/concurrency</t>
        </is>
      </c>
      <c r="D16" s="6" t="inlineStr">
        <is>
          <t>Routing v1 + KPI baseline</t>
        </is>
      </c>
      <c r="E16" s="6" t="inlineStr">
        <is>
          <t>2–3 h</t>
        </is>
      </c>
      <c r="F16" s="6" t="inlineStr">
        <is>
          <t>No LLM for metrics</t>
        </is>
      </c>
      <c r="G16" s="6" t="inlineStr">
        <is>
          <t>Premature scaling</t>
        </is>
      </c>
      <c r="H16" s="6" t="inlineStr">
        <is>
          <t>Scale to 4 only if gates pass</t>
        </is>
      </c>
    </row>
    <row r="17"/>
    <row r="18"/>
    <row r="19" ht="36" customHeight="1">
      <c r="B19" s="5" t="inlineStr">
        <is>
          <t>KPI</t>
        </is>
      </c>
      <c r="C19" s="5" t="inlineStr">
        <is>
          <t>Definition</t>
        </is>
      </c>
      <c r="D19" s="5" t="inlineStr">
        <is>
          <t>30-day gate</t>
        </is>
      </c>
      <c r="E19" s="5" t="inlineStr">
        <is>
          <t>Cadence</t>
        </is>
      </c>
    </row>
    <row r="20" ht="34" customHeight="1">
      <c r="B20" s="6" t="inlineStr">
        <is>
          <t>Cycle time</t>
        </is>
      </c>
      <c r="C20" s="6" t="inlineStr">
        <is>
          <t>Brief approved → evidence-complete PR</t>
        </is>
      </c>
      <c r="D20" s="6" t="inlineStr">
        <is>
          <t>Baseline then reduce 20%</t>
        </is>
      </c>
      <c r="E20" s="6" t="inlineStr">
        <is>
          <t>Weekly</t>
        </is>
      </c>
    </row>
    <row r="21" ht="34" customHeight="1">
      <c r="B21" s="6" t="inlineStr">
        <is>
          <t>First-pass proof rate</t>
        </is>
      </c>
      <c r="C21" s="6" t="inlineStr">
        <is>
          <t>PRs passing acceptance criteria without rebuild</t>
        </is>
      </c>
      <c r="D21" s="6" t="inlineStr">
        <is>
          <t>≥70% by day 30</t>
        </is>
      </c>
      <c r="E21" s="6" t="inlineStr">
        <is>
          <t>Weekly</t>
        </is>
      </c>
    </row>
    <row r="22" ht="34" customHeight="1">
      <c r="B22" s="6" t="inlineStr">
        <is>
          <t>Review escape rate</t>
        </is>
      </c>
      <c r="C22" s="6" t="inlineStr">
        <is>
          <t>Merged PRs causing rollback/hotfix</t>
        </is>
      </c>
      <c r="D22" s="6" t="inlineStr">
        <is>
          <t>0 critical</t>
        </is>
      </c>
      <c r="E22" s="6" t="inlineStr">
        <is>
          <t>Monthly</t>
        </is>
      </c>
    </row>
    <row r="23" ht="34" customHeight="1">
      <c r="B23" s="6" t="inlineStr">
        <is>
          <t>Free/no-agent share</t>
        </is>
      </c>
      <c r="C23" s="6" t="inlineStr">
        <is>
          <t>Eligible routine runs using no paid LLM</t>
        </is>
      </c>
      <c r="D23" s="6" t="inlineStr">
        <is>
          <t>≥70%</t>
        </is>
      </c>
      <c r="E23" s="6" t="inlineStr">
        <is>
          <t>Weekly</t>
        </is>
      </c>
    </row>
    <row r="24" ht="34" customHeight="1">
      <c r="B24" s="6" t="inlineStr">
        <is>
          <t>Provider failure recovery</t>
        </is>
      </c>
      <c r="C24" s="6" t="inlineStr">
        <is>
          <t>Blocked jobs resumed via fallback/checkpoint</t>
        </is>
      </c>
      <c r="D24" s="6" t="inlineStr">
        <is>
          <t>100% tested</t>
        </is>
      </c>
      <c r="E24" s="6" t="inlineStr">
        <is>
          <t>Monthly drill</t>
        </is>
      </c>
    </row>
    <row r="25" ht="34" customHeight="1">
      <c r="B25" s="6" t="inlineStr">
        <is>
          <t>AI cost/task</t>
        </is>
      </c>
      <c r="C25" s="6" t="inlineStr">
        <is>
          <t>Total model cost / completed accepted tasks</t>
        </is>
      </c>
      <c r="D25" s="6" t="inlineStr">
        <is>
          <t>Track median and P90</t>
        </is>
      </c>
      <c r="E25" s="6" t="inlineStr">
        <is>
          <t>Weekly</t>
        </is>
      </c>
    </row>
    <row r="26" ht="34" customHeight="1">
      <c r="B26" s="6" t="inlineStr">
        <is>
          <t>Human approval compliance</t>
        </is>
      </c>
      <c r="C26" s="6" t="inlineStr">
        <is>
          <t>Restricted actions with explicit approval record</t>
        </is>
      </c>
      <c r="D26" s="6" t="inlineStr">
        <is>
          <t>100%</t>
        </is>
      </c>
      <c r="E26" s="6" t="inlineStr">
        <is>
          <t>Weekly audit</t>
        </is>
      </c>
    </row>
  </sheetData>
  <mergeCells count="2">
    <mergeCell ref="B3:M3"/>
    <mergeCell ref="B2:M2"/>
  </mergeCells>
  <pageMargins left="0.75" right="0.75" top="1" bottom="1" header="0.5" footer="0.5"/>
  <pageSetup orientation="landscape" fitToHeight="0" fitToWidth="1"/>
  <headerFooter>
    <oddHeader/>
    <oddFooter>&amp;CGenerated 2026-09-15 | Nous prices change live; verify before deployment&amp;RPage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2026-09-15T09:22:42Z</dcterms:created>
  <dcterms:modified xmlns:dcterms="http://purl.org/dc/terms/" xmlns:xsi="http://www.w3.org/2001/XMLSchema-instance" xsi:type="dcterms:W3CDTF">2026-09-15T09:22:42Z</dcterms:modified>
</cp:coreProperties>
</file>